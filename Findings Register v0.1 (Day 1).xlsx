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Findings" sheetId="2" state="visible" r:id="rId4"/>
    <sheet name="By Discipline" sheetId="3" state="visible" r:id="rId5"/>
  </sheets>
  <definedNames>
    <definedName function="false" hidden="true" localSheetId="1" name="_xlnm._FilterDatabase" vbProcedure="false">Findings!$A$1:$M$31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<sst xmlns="http://schemas.openxmlformats.org/spreadsheetml/2006/main" count="439" uniqueCount="267">
  <si>
    <t xml:space="preserve">57 Rathbeale Road</t>
  </si>
  <si>
    <t xml:space="preserve">CRC Omni Unit 48A — Day-1 Findings v0.1</t>
  </si>
  <si>
    <t xml:space="preserve">Wednesday 27 May 2026 — initial findings from Stage 2C registers + Fire Part B report</t>
  </si>
  <si>
    <t xml:space="preserve">Severity rollup (v0.1)</t>
  </si>
  <si>
    <t xml:space="preserve">CRITICAL</t>
  </si>
  <si>
    <t xml:space="preserve">HIGH</t>
  </si>
  <si>
    <t xml:space="preserve">MEDIUM</t>
  </si>
  <si>
    <t xml:space="preserve">LOW</t>
  </si>
  <si>
    <t xml:space="preserve">TOTAL</t>
  </si>
  <si>
    <t xml:space="preserve">Scope of v0.1 (documents reviewed)</t>
  </si>
  <si>
    <t xml:space="preserve">• Architectural Drawing Register (11606-RG-RHA-AR-0001) — 2 pages</t>
  </si>
  <si>
    <t xml:space="preserve">• C&amp;S Drawing Register (DR01) — 1 page</t>
  </si>
  <si>
    <t xml:space="preserve">• M&amp;E Drawing Issue Sheets 1, 2, 3 of 3 (1743_Drgissue 2C) — 3 pages</t>
  </si>
  <si>
    <t xml:space="preserve">• Fire Part B Compliance Report (22481-Stage 2C) — 5 pages</t>
  </si>
  <si>
    <t xml:space="preserve">• Pack manifest cross-reference (file inventory of 161 connected files)</t>
  </si>
  <si>
    <t xml:space="preserve">Not yet reviewed (Day 2-7 work)</t>
  </si>
  <si>
    <t xml:space="preserve">• Architectural Works Specification (216 pages)</t>
  </si>
  <si>
    <t xml:space="preserve">• C&amp;S Specifications (Rathbeale Rd) (122 pages)</t>
  </si>
  <si>
    <t xml:space="preserve">• Mechanical Specification (117 pages)</t>
  </si>
  <si>
    <t xml:space="preserve">• Electrical Specification (105 pages)</t>
  </si>
  <si>
    <t xml:space="preserve">• All individual drawings (~150 PDFs across all 4 disciplines)</t>
  </si>
  <si>
    <t xml:space="preserve">• C&amp;S Schedules (3 xlsx files — Bending, Surface Water Attenuation, Foundation Mesh)</t>
  </si>
  <si>
    <t xml:space="preserve">• Contract documentation set (NOT IN CURRENT PACK — see Pack Manifest gap analysis)</t>
  </si>
  <si>
    <t xml:space="preserve">Finding ID</t>
  </si>
  <si>
    <t xml:space="preserve">Discipline</t>
  </si>
  <si>
    <t xml:space="preserve">Severity</t>
  </si>
  <si>
    <t xml:space="preserve">Category</t>
  </si>
  <si>
    <t xml:space="preserve">Document</t>
  </si>
  <si>
    <t xml:space="preserve">Section / Location</t>
  </si>
  <si>
    <t xml:space="preserve">Regulatory basis</t>
  </si>
  <si>
    <t xml:space="preserve">Operational risk</t>
  </si>
  <si>
    <t xml:space="preserve">Recommended action</t>
  </si>
  <si>
    <t xml:space="preserve">Evidence quote</t>
  </si>
  <si>
    <t xml:space="preserve">Source file (PDF + page)</t>
  </si>
  <si>
    <t xml:space="preserve">Owner</t>
  </si>
  <si>
    <t xml:space="preserve">Status</t>
  </si>
  <si>
    <t xml:space="preserve">C-001</t>
  </si>
  <si>
    <t xml:space="preserve">CONTRACT/PACK</t>
  </si>
  <si>
    <t xml:space="preserve">DOCUMENT_HYGIENE</t>
  </si>
  <si>
    <t xml:space="preserve">Multiple — Arch register, M&amp;E issue sheet, Fire Stage 2C report</t>
  </si>
  <si>
    <t xml:space="preserve">Project title block / header across all 3 packs</t>
  </si>
  <si>
    <t xml:space="preserve">PW-CF5 Conditions of Contract Clause 1.1 (definitions); SI 9/2014 Reg 5 (consistency of design info); CWMF ARM4 §A1.2 (single project identity)</t>
  </si>
  <si>
    <t xml:space="preserve">Three different project descriptors create ambiguity over what is being tendered. At award, the executed contract may reference a description that does not match drawings or specifications, creating dispute potential and challenging BCAR compliance.</t>
  </si>
  <si>
    <t xml:space="preserve">Issue a single project descriptor instruction: '57 Rathbeale Road CRC Children's Disability Network Team — Day Care Centre, Swords, Co. Dublin K67 EP62'. Update all discipline pack title blocks to this exact descriptor before tender issue. Confirm legal Employer entity (HSE per M&amp;E sheet vs. CRC per project brief vs. Building Owner) on FOT Schedule Part 1.</t>
  </si>
  <si>
    <t xml:space="preserve">M&amp;E Drawing Issue Sheet: 'HSE HEALTH CARE CENTRE / RATHBEALE ROAD'; Arch Drawing Register: 'Project Title: Rathbeale Rd Day Care / Client: HSE'; Fire Report: '57 Rathbeale Road, Swords, Co. Dublin, K67 EP62'.</t>
  </si>
  <si>
    <t xml:space="preserve">11606-RG-RHA-AR-0001 Drawing Register p.1 / 1743_Drgissue 2C Sheet 1 / 22481-Stage 2C Report p.1</t>
  </si>
  <si>
    <t xml:space="preserve">EMPLOYER</t>
  </si>
  <si>
    <t xml:space="preserve">OPEN</t>
  </si>
  <si>
    <t xml:space="preserve">C-002</t>
  </si>
  <si>
    <t xml:space="preserve">All discipline registers</t>
  </si>
  <si>
    <t xml:space="preserve">Issue dates across discipline packs</t>
  </si>
  <si>
    <t xml:space="preserve">CWMF ARM4 §A2 (coherent tender pack issue); SI 9/2014 Reg 9 (designer responsibility for issued info)</t>
  </si>
  <si>
    <t xml:space="preserve">Tender pack is not a single coherent issue. Tenderers cannot rely on a single 'issue date' as the price-baseline. Variations may be claimed against information issued at different times.</t>
  </si>
  <si>
    <t xml:space="preserve">Reissue all discipline packs to a single coordinated tender issue date with consistent revision codes. State 'Issued for Tender — DD-MMM-2026' on every title block. Lock CDE issue date.</t>
  </si>
  <si>
    <t xml:space="preserve">Arch: P08-S (no explicit date on register); C&amp;S: 08/05/26; M&amp;E: 13-MAY-26; Fire: 31/03/2026.</t>
  </si>
  <si>
    <t xml:space="preserve">All 4 register PDFs</t>
  </si>
  <si>
    <t xml:space="preserve">ER</t>
  </si>
  <si>
    <t xml:space="preserve">C-003</t>
  </si>
  <si>
    <t xml:space="preserve">COMPLIANCE</t>
  </si>
  <si>
    <t xml:space="preserve">Fire Part B Compliance Report (22481-Stage 2C Report)</t>
  </si>
  <si>
    <t xml:space="preserve">Notes 12-15 (p.5)</t>
  </si>
  <si>
    <t xml:space="preserve">SI 496/2009 Building Control Regulations §11; SI 9/2014 (BCAR); TGD-B 2024</t>
  </si>
  <si>
    <t xml:space="preserve">Existing granted FSC dated 19/08/2025 with 7 conditions. Design changes 31/03/2026 (external store under stairs, bin→bike store, Activity Room 13 reconfig) formally determined by SFPO Keith Boland 08/04/2026 to require REVISED FSC and DAC. Tenderer must price for revised FSC submission process AND for compliance with both the original 7 conditions and any conditions on the revised grant. Commencement may issue on existing FSC, but occupation is blocked until revised FSC and DAC are granted.</t>
  </si>
  <si>
    <t xml:space="preserve">(1) Add explicit clause in Preliminaries: 'Contractor shall allow for compliance with the granted FSC and its 7 conditions, and shall allow for cooperation with Design Team submission of revised FSC and DAC during construction. Occupation is contingent on grant of revised FSC and DAC.' (2) Issue all 7 FSC conditions as a tenderer-facing schedule. (3) Confirm position on Activity Room 13 / bike store / external store scope freeze before tender issue.</t>
  </si>
  <si>
    <t xml:space="preserve">Fire Report Note 14: 'It was determined on 08/04/2026 following a formal response from SFPO Keith Boland that the works were not considered minor enough such that under Section 11 of SI 496 of the Building Control Regulations a revised FSC and DAC would be required.' Note 15: 'commencement can still be issued on the basis of the existing granted FSC. However, the Revised FSC and DAC must be submitted an granted during the construction phase before the building is occupied.'</t>
  </si>
  <si>
    <t xml:space="preserve">22481-Stage 2C Report-Part B Compliance.pdf p.5</t>
  </si>
  <si>
    <t xml:space="preserve">A-001</t>
  </si>
  <si>
    <t xml:space="preserve">ARCHITECTURAL</t>
  </si>
  <si>
    <t xml:space="preserve">Architectural Drawing Register</t>
  </si>
  <si>
    <t xml:space="preserve">Section 15000 (Wall &amp; Partition Types) and Section 17000 (Signage)</t>
  </si>
  <si>
    <t xml:space="preserve">BS 1192 / BS EN ISO 19650-2 (CDE controlled-document numbering); RIAI Standard Conditions of Engagement (design info quality)</t>
  </si>
  <si>
    <t xml:space="preserve">Two distinct drawings carry the same number 11606-XX-L00-DR-RHA-AR-17001 — one titled 'Wall &amp; Partition Types', one titled 'Signage – Ground Floor'. CDE retrieval will return the wrong drawing. Contractor build risk: wrong document acted on.</t>
  </si>
  <si>
    <t xml:space="preserve">Renumber Wall &amp; Partition Types to 11606-XX-L00-DR-RHA-AR-15001 (consistent with Section 15000 numbering). Reissue register and reissue drawing under new number. Withdraw the duplicate-numbered version from CDE.</t>
  </si>
  <si>
    <t xml:space="preserve">Register p.1: '15000 WALL &amp; PARTITION TYPES — 11606-XX-L00-DR-RHA-AR-17001 Wall &amp; Partition Types P08-S 1:100 A1'  AND  '17000 SIGNAGE — 11606-XX-L00-DR-RHA-AR-17001 Signage - Ground Floor P08-S 1:100 A1'</t>
  </si>
  <si>
    <t xml:space="preserve">11606-RG-RHA-AR-0001 Drawing Register p.1</t>
  </si>
  <si>
    <t xml:space="preserve">ARCH_DESIGNER</t>
  </si>
  <si>
    <t xml:space="preserve">A-002</t>
  </si>
  <si>
    <t xml:space="preserve">Section 31000 Detail Wall Sections</t>
  </si>
  <si>
    <t xml:space="preserve">BS 1192 / BS EN ISO 19650-2</t>
  </si>
  <si>
    <t xml:space="preserve">Drawing number 11606-XX-ZZZ-DR-RHA-AR-31001 is used for both 'Detail Wall Section - Sheet 1' AND 'Detail Wall Section - Sheet 2'. Ambiguity on CDE retrieval.</t>
  </si>
  <si>
    <t xml:space="preserve">Renumber Sheet 2 to 31002. File inventory shows 31001, 31002, 31003 present in pack, so register entry is the error — correct the register.</t>
  </si>
  <si>
    <t xml:space="preserve">Register p.1: '11606-XX-ZZZ-DR-RHA-AR-31001 Detail Wall Section - Sheet 1' and immediately below '11606-XX-ZZZ-DR-RHA-AR-31001 Detail Wall Section - Sheet 2'.</t>
  </si>
  <si>
    <t xml:space="preserve">A-003</t>
  </si>
  <si>
    <t xml:space="preserve">Architectural pack delivery</t>
  </si>
  <si>
    <t xml:space="preserve">Site Drawings (Section 10000), Room Layouts 60009/60029-60032, Details 51005/52001/53001-53002/55001/57001-57013/59001-59004, RCP 70001</t>
  </si>
  <si>
    <t xml:space="preserve">CWMF ARM4 (pack completeness for tender issue); SI 9/2014 (designer obligation)</t>
  </si>
  <si>
    <t xml:space="preserve">Architectural register lists drawings 10004-10010 (Site Plan, Site Sections 1-6), 10014-10016 (Entrance details), 51005, 52001, 53001, 53002, 55001, 57001-57013, 59001-59004, 60009, 60029-60032, 70001 — but file inventory of the connected pack shows these NOT present. Register notes 'External works package to be issued by COB 22nd May' and 'Drawings to be issued by COB 21st May'. Today is 27-May-2026 — completeness unconfirmed.</t>
  </si>
  <si>
    <t xml:space="preserve">Confirm status of external works package and outstanding drawings. If not issued, schedule date for issue. Pack cannot proceed to tender with drawings listed-but-not-present.</t>
  </si>
  <si>
    <t xml:space="preserve">Register margin annotations: 'External works package to be issued by COB 22nd May' and 'Drawings to be issued by COB 21st May'. File inventory confirms absence.</t>
  </si>
  <si>
    <t xml:space="preserve">11606-RG-RHA-AR-0001 Drawing Register p.1-2 + pack manifest</t>
  </si>
  <si>
    <t xml:space="preserve">A-004</t>
  </si>
  <si>
    <t xml:space="preserve">Section heading '3000 SECTIONS'</t>
  </si>
  <si>
    <t xml:space="preserve">Internal numbering convention</t>
  </si>
  <si>
    <t xml:space="preserve">Section heading shows '3000' but should be '30000' to match 5-digit hierarchy used elsewhere in the register (10000, 11000, 13000, 15000, 17000, 20000, 25000, 31000…). Inconsistent hierarchy may confuse CDE filing.</t>
  </si>
  <si>
    <t xml:space="preserve">Correct register section heading to '30000 SECTIONS'.</t>
  </si>
  <si>
    <t xml:space="preserve">Register p.1: '3000 SECTIONS' immediately preceding drawings 11606-XX-ZZZ-DR-RHA-AR-30001/30002.</t>
  </si>
  <si>
    <t xml:space="preserve">A-005</t>
  </si>
  <si>
    <t xml:space="preserve">Room 0.09 Accessible WC and Room 0.32 Meeting &amp; Consultation</t>
  </si>
  <si>
    <t xml:space="preserve">Register completeness</t>
  </si>
  <si>
    <t xml:space="preserve">Register page 2 omits drawing for Room 0.09 (between 0.08 and 0.10) but file inventory shows 60009 present in pack. Register layout corruption — room 0.32 layout split across two rows. Pack reality vs register state drift.</t>
  </si>
  <si>
    <t xml:space="preserve">Reissue register page 2 with all room layout drawings consistently listed including 0.09 Accessible WC.</t>
  </si>
  <si>
    <t xml:space="preserve">Register p.2 jumps from '11606-XX-L00-DR-RHA-AR-60008 0.08 - Group Therapy Room' to '11606-XX-L00-DR-RHA-AR-60010 0.10 - Sensory Room' — 60009 absent. File '60009- 0.09 Accessible WC.pdf' confirmed present in pack.</t>
  </si>
  <si>
    <t xml:space="preserve">11606-RG-RHA-AR-0001 Drawing Register p.2 + pack manifest</t>
  </si>
  <si>
    <t xml:space="preserve">A-006</t>
  </si>
  <si>
    <t xml:space="preserve">Status code P08-S vs declared issue purpose 'T' (Tender)</t>
  </si>
  <si>
    <t xml:space="preserve">BS EN ISO 19650-2 §5.3.2 (status code use)</t>
  </si>
  <si>
    <t xml:space="preserve">All drawings carry status 'P08-S' (typically Preliminary, suitability code S). Register issue list shows 'T' (Tender) for all recipients. P08-S Preliminary is NOT a tender-issue status code. Recipients may treat drawings as not-for-tender.</t>
  </si>
  <si>
    <t xml:space="preserve">Update all drawing status codes to a tender-issue suitability (e.g. S4 or A1 per ISO 19650 conventions used in Ireland). Reissue register to confirm tender purpose.</t>
  </si>
  <si>
    <t xml:space="preserve">Register p.1-2: Every drawing carries 'P08-S'. Legend p.2: 'T - tender' listed as issue purpose.</t>
  </si>
  <si>
    <t xml:space="preserve">11606-RG-RHA-AR-0001 Drawing Register p.1-2</t>
  </si>
  <si>
    <t xml:space="preserve">A-007</t>
  </si>
  <si>
    <t xml:space="preserve">AR-40010 Ironmongery &amp; Access Control Plan &amp; Schedule</t>
  </si>
  <si>
    <t xml:space="preserve">Register accuracy</t>
  </si>
  <si>
    <t xml:space="preserve">Spelling error 'Inronmongery' on controlled register.</t>
  </si>
  <si>
    <t xml:space="preserve">Correct spelling to 'Ironmongery'.</t>
  </si>
  <si>
    <t xml:space="preserve">Register p.1: '11606-XX-XXX-SH-RHA-AR-40010 Inronmongery &amp; Access Control Plan &amp; Schedule'.</t>
  </si>
  <si>
    <t xml:space="preserve">A-008</t>
  </si>
  <si>
    <t xml:space="preserve">Legend for issue type codes (p.2 bottom)</t>
  </si>
  <si>
    <t xml:space="preserve">Documentation hygiene</t>
  </si>
  <si>
    <t xml:space="preserve">Letter 'P' is used twice in the issue type legend — once for 'paper' format and once for 'planning' issue purpose. Single character collision creates ambiguity.</t>
  </si>
  <si>
    <t xml:space="preserve">Use 'PL' for planning issue (or 'PP' for paper planning) to remove collision.</t>
  </si>
  <si>
    <t xml:space="preserve">Register p.2: 'P - paper / P - planning'.</t>
  </si>
  <si>
    <t xml:space="preserve">11606-RG-RHA-AR-0001 Drawing Register p.2</t>
  </si>
  <si>
    <t xml:space="preserve">S-001</t>
  </si>
  <si>
    <t xml:space="preserve">C&amp;S</t>
  </si>
  <si>
    <t xml:space="preserve">C&amp;S Drawing Register (DR01)</t>
  </si>
  <si>
    <t xml:space="preserve">All 24 rows — Revision columns</t>
  </si>
  <si>
    <t xml:space="preserve">BS 1192 / BS EN ISO 19650-2 §5.3 (revision control); SI 9/2014 Reg 9 (designer responsibility for issued info)</t>
  </si>
  <si>
    <t xml:space="preserve">All Current Revision, Current Revision Date and Current Revision Description fields are blank. No revision control evidenced. Cannot demonstrate what version of any C&amp;S drawing is the controlled current version. BCAR Assigned Certifier cannot accept drawings without revision control.</t>
  </si>
  <si>
    <t xml:space="preserve">Populate revision data for every C&amp;S drawing. Issue rev 0 'For Tender' if no prior revisions. Reissue register.</t>
  </si>
  <si>
    <t xml:space="preserve">DR01: 26 drawing rows, all with empty Current Revision / Current Revision Date / Current Revision Description columns.</t>
  </si>
  <si>
    <t xml:space="preserve">DR01 - DRAWINGS REGISTER.pdf</t>
  </si>
  <si>
    <t xml:space="preserve">CS_DESIGNER</t>
  </si>
  <si>
    <t xml:space="preserve">S-002</t>
  </si>
  <si>
    <t xml:space="preserve">Register header / column structure</t>
  </si>
  <si>
    <t xml:space="preserve">CWMF ARM4 (tender pack standards); BS EN ISO 19650-2</t>
  </si>
  <si>
    <t xml:space="preserve">C&amp;S register has no Status Code column and no Purpose-of-Issue column (unlike Architectural register which states 'P08-S' and Tender on every row). Tenderer cannot determine whether C&amp;S drawings are issued For Tender, For Construction, or Preliminary. Material risk to pricing certainty.</t>
  </si>
  <si>
    <t xml:space="preserve">Reissue C&amp;S register with Status Code and Purpose-of-Issue columns populated (Tender) for every drawing.</t>
  </si>
  <si>
    <t xml:space="preserve">DR01 columns: Sheet Number, Sheet Name, Sheet Issue Date, Designed By, Approved By, Current Revision, Current Revision Date, Current Revision Description — no Status Code or Purpose-of-Issue column.</t>
  </si>
  <si>
    <t xml:space="preserve">S-003</t>
  </si>
  <si>
    <t xml:space="preserve">C&amp;S pack</t>
  </si>
  <si>
    <t xml:space="preserve">Pack scope — structural calculation package</t>
  </si>
  <si>
    <t xml:space="preserve">Eurocodes + Irish NAs; SI 9/2014 Reg 9 (Assigned Certifier requirements); BCAR Code of Practice for Inspecting and Certifying Buildings and Works</t>
  </si>
  <si>
    <t xml:space="preserve">C&amp;S pack contains drawings + 3 schedule spreadsheets (Bending Schedule, Surface Water Attenuation Cl 2309, Foundation Mesh Calculator) but NO structural design report, NO calculation package, NO design statement, NO Eurocode design basis. Assigned Certifier cannot sign Ancillary Cert for structural design without underlying calcs. Tenderer cannot validate buildability.</t>
  </si>
  <si>
    <t xml:space="preserve">Issue structural design report including Eurocode basis (EN 1990/1991/1992/1993/1996/1997/1998 + Irish NAs as applicable), design loadings, calculation summary, and foundation justification. Confirm Geotechnical/Ground Investigation Report and reference SI in design.</t>
  </si>
  <si>
    <t xml:space="preserve">Pack inventory: PDF DRAWINGS folder (drawings only), SCHEDULES folder (3 xlsx files for bending/attenuation/mesh), SPECIFICATION folder (1 spec PDF). No calc package, no design statement, no GI report referenced.</t>
  </si>
  <si>
    <t xml:space="preserve">Pack manifest + DR01 register</t>
  </si>
  <si>
    <t xml:space="preserve">S-004</t>
  </si>
  <si>
    <t xml:space="preserve">Drawing 00006 'Fire Tender Tracking'</t>
  </si>
  <si>
    <t xml:space="preserve">Discipline scope allocation</t>
  </si>
  <si>
    <t xml:space="preserve">Fire tender tracking is a fire engineer / TGD-B consultant deliverable, not a C&amp;S deliverable. Either misallocated to C&amp;S or misnamed. Coordination risk between C&amp;S contractor and fire consultant for site logistics.</t>
  </si>
  <si>
    <t xml:space="preserve">Confirm correct discipline ownership of drawing 00006. If site logistics for fire appliance access, retain in C&amp;S as access road / fire tender route. If TGD-B B5 fire appliance route compliance, transfer to fire consultant pack and confirm coordination with C&amp;S external works.</t>
  </si>
  <si>
    <t xml:space="preserve">DR01: '00006 — FIRE TENDER TRACKING — 08/05/26 — Stefano Duarte / Jim Mansfield'.</t>
  </si>
  <si>
    <t xml:space="preserve">S-005</t>
  </si>
  <si>
    <t xml:space="preserve">Drawing number sequence 50001-50009</t>
  </si>
  <si>
    <t xml:space="preserve">Sequence shows 50001, 50002, 50003, 50004, 50005, 50007, 50008, 50009 — drawing 50006 absent. Confirm if intentional omission, withdrawn drawing, or missing from issue.</t>
  </si>
  <si>
    <t xml:space="preserve">If 50006 was withdrawn, note in register. If omitted, issue. If never existed, close the gap by renumbering subsequent drawings.</t>
  </si>
  <si>
    <t xml:space="preserve">DR01: Sequence 50005 → 50007 with no 50006 entry.</t>
  </si>
  <si>
    <t xml:space="preserve">S-006</t>
  </si>
  <si>
    <t xml:space="preserve">Drawing 50002 title</t>
  </si>
  <si>
    <t xml:space="preserve">Spelling error 'REAR RETAINING WALLll' (double 'll' suffix). Controlled register accuracy.</t>
  </si>
  <si>
    <t xml:space="preserve">Correct to 'REAR RETAINING WALL'.</t>
  </si>
  <si>
    <t xml:space="preserve">DR01: '50002 — REAR RETAINING WALLll'.</t>
  </si>
  <si>
    <t xml:space="preserve">S-007</t>
  </si>
  <si>
    <t xml:space="preserve">Project identification block</t>
  </si>
  <si>
    <t xml:space="preserve">Project coherence</t>
  </si>
  <si>
    <t xml:space="preserve">C&amp;S register identifies project as '57 RATHBEALE ROAD' only — no project number reference (Arch uses 11606, M&amp;E uses 1743). Cross-discipline cross-reference broken.</t>
  </si>
  <si>
    <t xml:space="preserve">Add Arch project reference number (11606) to C&amp;S register title block for cross-discipline traceability.</t>
  </si>
  <si>
    <t xml:space="preserve">DR01 title block: 'Project: 57 RATHBEALE ROAD' — no project number.</t>
  </si>
  <si>
    <t xml:space="preserve">M-001</t>
  </si>
  <si>
    <t xml:space="preserve">M&amp;E</t>
  </si>
  <si>
    <t xml:space="preserve">M&amp;E Drawing Issue Sheets (1743_Drgissue 2C)</t>
  </si>
  <si>
    <t xml:space="preserve">Drawing Circulation block, all 3 issue sheets</t>
  </si>
  <si>
    <t xml:space="preserve">Appointment register coherence; SI 9/2014 (designer identification)</t>
  </si>
  <si>
    <t xml:space="preserve">Fire Consultant identified as 'TBC' on all 3 M&amp;E issue sheets. Fire Consultant has been appointed (ORS — Conor Jordan signed Stage 2C Part B report). Appointment register out of sync. Coordination instructions to M&amp;E may not flow to fire consultant.</t>
  </si>
  <si>
    <t xml:space="preserve">Update M&amp;E issue sheets to identify Fire Consultant as 'ORS' and add to circulation. Reissue.</t>
  </si>
  <si>
    <t xml:space="preserve">M&amp;E Issue Sheet (all 3 sheets): 'Fire Consultant: TBC'. Fire Report cover: signed by Conor Jordan, ORS Fire Safety Lead.</t>
  </si>
  <si>
    <t xml:space="preserve">1743_Drgissue 2C-Issue Sheet 1/2/3 of 3.pdf + 22481-Stage 2C Report p.5</t>
  </si>
  <si>
    <t xml:space="preserve">ME_DESIGNER</t>
  </si>
  <si>
    <t xml:space="preserve">M-002</t>
  </si>
  <si>
    <t xml:space="preserve">M&amp;E Drawing Issue Sheets</t>
  </si>
  <si>
    <t xml:space="preserve">'Issued By: RM' (initials only)</t>
  </si>
  <si>
    <t xml:space="preserve">SI 9/2014 Reg 9 (designer identification — must be named individual); BCAR Code of Practice</t>
  </si>
  <si>
    <t xml:space="preserve">M&amp;E issuer identified by initials 'RM' only — no full name, no chartered designation. BCAR Ancillary Cert requires named individual with chartered status.</t>
  </si>
  <si>
    <t xml:space="preserve">Reissue M&amp;E sheets with full name and chartered designation of issuer.</t>
  </si>
  <si>
    <t xml:space="preserve">M&amp;E Issue Sheet: 'Issued By: RM' on all 3 sheets.</t>
  </si>
  <si>
    <t xml:space="preserve">1743_Drgissue 2C-Issue Sheet 1/2/3 of 3.pdf</t>
  </si>
  <si>
    <t xml:space="preserve">M-003</t>
  </si>
  <si>
    <t xml:space="preserve">Circulation list</t>
  </si>
  <si>
    <t xml:space="preserve">PW-CF5 appointment register; BCAR participant matrix</t>
  </si>
  <si>
    <t xml:space="preserve">M&amp;E circulation lists Client, Architect, QS, Structural Eng, Fire Consultant (TBC), Main Contractor (TBC), Electrical Contractor (TBC), Mechanical Contractor (TBC), Other (N/A). NO Employer's Representative (ER), NO PSDP, NO Assigned Certifier listed. Required PW-CF5 / BCAR roles absent from circulation.</t>
  </si>
  <si>
    <t xml:space="preserve">Add ER, PSDP, Assigned Certifier to M&amp;E circulation register. Confirm appointment of each and update circulation accordingly.</t>
  </si>
  <si>
    <t xml:space="preserve">M&amp;E Issue Sheet Drawing Circulation: Client, Architect, QSurv, Structural Eng, Fire Consultant, Main Contractor, Electrical Contractor, Mechanical Contractor, Other.</t>
  </si>
  <si>
    <t xml:space="preserve">M-004</t>
  </si>
  <si>
    <t xml:space="preserve">M&amp;E Electrical Specification filename</t>
  </si>
  <si>
    <t xml:space="preserve">File name</t>
  </si>
  <si>
    <t xml:space="preserve">Document hygiene</t>
  </si>
  <si>
    <t xml:space="preserve">Spec file is named 'Electrical Specifiction .pdf' (typo + trailing space) instead of 'Electrical Specification.pdf'. CDE search and version control compromised.</t>
  </si>
  <si>
    <t xml:space="preserve">Rename file to 'Electrical Specification.pdf' on issue.</t>
  </si>
  <si>
    <t xml:space="preserve">Pack file path: 'Appendix C - Mechanical and Electrical/Electrical Specifications/Electrical Specifiction .pdf'.</t>
  </si>
  <si>
    <t xml:space="preserve">Pack manifest</t>
  </si>
  <si>
    <t xml:space="preserve">F-001</t>
  </si>
  <si>
    <t xml:space="preserve">FIRE</t>
  </si>
  <si>
    <t xml:space="preserve">Fire Part B Compliance Report (22481-Stage 2C)</t>
  </si>
  <si>
    <t xml:space="preserve">Notes 1a vs Condition 4 (p.3)</t>
  </si>
  <si>
    <t xml:space="preserve">TGD-B Vol 1 2024 vs TGD-B 2006 Reprint 2020</t>
  </si>
  <si>
    <t xml:space="preserve">Compliance report was completed in accordance with 'TGD-B V1 2024' (Note 1a). However Condition 4 of the granted FSC requires concealed spaces (cavities) to be in accordance with 'Section 3.3 of Technical Guidance Document Part B 2006 (Reprint 2020)'. Two TGD-B versions in the same fire compliance package. Tenderer scope of standards unclear.</t>
  </si>
  <si>
    <t xml:space="preserve">Clarify in Fire Strategy report which TGD-B version applies to which element. Reissue Fire Strategy clarification or addendum. Confirm tenderer uses TGD-B 2024 for primary compliance and TGD-B 2006 Reprint 2020 only for cavity barriers per the FSC condition.</t>
  </si>
  <si>
    <t xml:space="preserve">Note 1a: 'A compliance report completed in accordance with TGD-B V1 2024.' Condition 4: 'Concealed Spaces (Cavities) shall be in accordance with Section 3.3 of Technical Guidance Document Part B 2006 (Reprint 2020).'</t>
  </si>
  <si>
    <t xml:space="preserve">22481-Stage 2C Report p.1, p.3</t>
  </si>
  <si>
    <t xml:space="preserve">PSDP</t>
  </si>
  <si>
    <t xml:space="preserve">F-002</t>
  </si>
  <si>
    <t xml:space="preserve">Fire Part B Compliance Report</t>
  </si>
  <si>
    <t xml:space="preserve">Note 9 (p.4) — Access control cause and effect</t>
  </si>
  <si>
    <t xml:space="preserve">IS EN 13637:2015 (electrically controlled exit systems); IS 3218:2024 (fire detection cause-and-effect)</t>
  </si>
  <si>
    <t xml:space="preserve">Note 9 states 'Cause and effect of access control proposal reviewed and agreed based on the principals of IS EN 13637 2015... Types of systems and ironmongery are yet to be approved.' Tenderer is being asked to price ironmongery/access control with the specification still open. Variation exposure on award.</t>
  </si>
  <si>
    <t xml:space="preserve">Either (a) freeze ironmongery and access control specification before tender issue and incorporate into Arch ironmongery schedule (AR-40010), OR (b) issue performance specification with provisional sum and a clear protocol for selection post-award.</t>
  </si>
  <si>
    <t xml:space="preserve">Fire Report Note 9: 'Types of systems and ironmongery are yet to be approved. Design team meeting held on the 16/09/2025.'</t>
  </si>
  <si>
    <t xml:space="preserve">22481-Stage 2C Report p.4</t>
  </si>
  <si>
    <t xml:space="preserve">F-003</t>
  </si>
  <si>
    <t xml:space="preserve">FSC Condition 6 — Photovoltaic System</t>
  </si>
  <si>
    <t xml:space="preserve">Fire Report Condition 6 (p.3-4)</t>
  </si>
  <si>
    <t xml:space="preserve">FSC Condition 6; IS 10101:2020+A1:2024; RC62; NFPA 1 §11.12; MCS/ECA guidance; PV roof spec</t>
  </si>
  <si>
    <t xml:space="preserve">FSC Condition 6 imposes specific PV system requirements (RC62, NFPA 1, MCS, IS 10101:2020+A1:2024, 500mm firebreak between PV array and green roof, non-combustible roof covering under PV, signage at access level, weather-resistant cables). However NO PV system appears in the drawing inventory reviewed so far — neither in Arch RCP, nor in Elec drawings 60-69 series. Either PV is included but undocumented, or PV is omitted despite being a granted FSC condition.</t>
  </si>
  <si>
    <t xml:space="preserve">Confirm PV scope: (a) if PV is included, ensure all 4 standards are referenced in M&amp;E spec and that Arch roof construction supports PV array per Condition 6 sub-clauses (a)/(b)/(c). (b) if PV is omitted, formally request amendment to granted FSC to remove Condition 6.</t>
  </si>
  <si>
    <t xml:space="preserve">Fire Report Condition 6: 'Where PV panels are provided, it is the responsibility of the specialist contractor to ensure that the Photovoltaic Systems have been installed correctly...' (full condition references RC62, NFPA 1 §11.12, MCS/ECA, IS 10101:2020+A1:2024).</t>
  </si>
  <si>
    <t xml:space="preserve">22481-Stage 2C Report p.3-4</t>
  </si>
  <si>
    <t xml:space="preserve">F-004</t>
  </si>
  <si>
    <t xml:space="preserve">FSC Condition 5 — Kitchen suppression</t>
  </si>
  <si>
    <t xml:space="preserve">Fire Report Condition 5 (p.3)</t>
  </si>
  <si>
    <t xml:space="preserve">IS EN 16282-7; FSC Condition 5</t>
  </si>
  <si>
    <t xml:space="preserve">Condition 5 requires deep-fat-fryer suppression interlinked with fire alarm and gas/electrical isolation, plus 'Lock Stop' switch, plus duct cleaning regime, plus heat detection in extract ductwork. Kitchen scope (Room 0.17 Kitchen layout AR-57012) must reflect this — verify Mech and Elec specs and Architectural Kitchen layout integrate the suppression scope and the Lock Stop location.</t>
  </si>
  <si>
    <t xml:space="preserve">Cross-check Kitchen layout drawing AR-57012, Mech spec (extract / suppression), Elec spec (Lock Stop / interlock). Issue addendum if any element absent.</t>
  </si>
  <si>
    <t xml:space="preserve">Fire Report Condition 5: 'Where deep fat frying equipment is provided in the premises the cooking equipment and associated ductwork shall be protected by a fire suppression system; all of which is to be installed in accordance with IS EN 16282-7...'</t>
  </si>
  <si>
    <t xml:space="preserve">22481-Stage 2C Report p.3</t>
  </si>
  <si>
    <t xml:space="preserve">F-005</t>
  </si>
  <si>
    <t xml:space="preserve">FSC Condition 7 — Green roof</t>
  </si>
  <si>
    <t xml:space="preserve">Fire Report Condition 7 (p.4)</t>
  </si>
  <si>
    <t xml:space="preserve">BS 8616:2019 (substrate); DCLG UK 2013 (green roof fire performance); Green Roof Code of Best Practice UK 2014</t>
  </si>
  <si>
    <t xml:space="preserve">Condition 7 references UK guidance documents for green roof fire performance. Confirm these are bound into the Arch spec or M&amp;E spec. Note green roof shown on Arch drawing 12003 (PAVING AREAS &amp; GREEN ROOF — C&amp;S sheet) — coordination between Arch waterproofing spec and C&amp;S structural deck loading.</t>
  </si>
  <si>
    <t xml:space="preserve">Confirm BS 8616:2019, DCLG UK 2013 and Green Roof Code of Best Practice UK 2014 are explicitly referenced in the green roof spec. Confirm Irish equivalence of UK documents or accept as best-practice references.</t>
  </si>
  <si>
    <t xml:space="preserve">Fire Report Condition 7: 'Where green roofs are provided they shall comply with the following: (i) BS 8616:2019 — Specification for performance parameters and test methods green roof substrates, and (ii) Fire Performance of Green Roofs and Walls - DCLG UK: 2013, and (iii) Green Roof Code of Best Practice UK: 2014.'</t>
  </si>
  <si>
    <t xml:space="preserve">F-006</t>
  </si>
  <si>
    <t xml:space="preserve">FSC Condition 2 — Fire detection</t>
  </si>
  <si>
    <t xml:space="preserve">Fire Report Condition 2 (p.3)</t>
  </si>
  <si>
    <t xml:space="preserve">IS 3218:2024</t>
  </si>
  <si>
    <t xml:space="preserve">Condition 2 requires fire detection and alarm system to comply with IS 3218:2024. Verify Elec spec and fire alarm scope reference IS 3218:2024 explicitly (not IS 3218:2013 or earlier). Cause-and-effect matrix required per IS 3218:2024 §6 — note user project brief flagged absence.</t>
  </si>
  <si>
    <t xml:space="preserve">Confirm IS 3218:2024 cited in Elec spec. Confirm cause-and-effect matrix to be issued as part of tender pack or required as tenderer deliverable.</t>
  </si>
  <si>
    <t xml:space="preserve">Condition 2: 'The fire detection and alarm system to comply with IS:3218:2024. Reason: To comply with Part B1...'</t>
  </si>
  <si>
    <t xml:space="preserve">EE_DESIGNER</t>
  </si>
  <si>
    <t xml:space="preserve">F-007</t>
  </si>
  <si>
    <t xml:space="preserve">CONTRACT</t>
  </si>
  <si>
    <t xml:space="preserve">Pack scope</t>
  </si>
  <si>
    <t xml:space="preserve">DAC status</t>
  </si>
  <si>
    <t xml:space="preserve">Disability Access Certificate per Part 3 Building Control Regulations 1997-2024; TGD-M; BS 8300-2:2018</t>
  </si>
  <si>
    <t xml:space="preserve">Per Fire Report Note 14, a REVISED DAC is required following the 31/03/2026 design changes. Original DAC status not stated in this pack. Tenderer cannot confirm whether DAC is granted, pending, or to-be-applied-for.</t>
  </si>
  <si>
    <t xml:space="preserve">State DAC status explicitly in tender pack preliminaries. Confirm application number, grant date, conditions if granted. Confirm revised DAC submission timeline.</t>
  </si>
  <si>
    <t xml:space="preserve">Fire Report Note 14: '...a revised FSC and DAC would be required for the above mentioned changes.' No DAC information elsewhere in pack.</t>
  </si>
  <si>
    <t xml:space="preserve">22481-Stage 2C Report p.5</t>
  </si>
  <si>
    <t xml:space="preserve">F-008</t>
  </si>
  <si>
    <t xml:space="preserve">Report age</t>
  </si>
  <si>
    <t xml:space="preserve">Currency of design info at tender issue</t>
  </si>
  <si>
    <t xml:space="preserve">Fire Report dated 31/03/2026 — same date as the design changes that triggered the revised FSC/DAC requirement. Today is 27/05/2026 (8 weeks later). Confirm no further design changes since report date that the report does not capture.</t>
  </si>
  <si>
    <t xml:space="preserve">Reissue Fire Report dated to coincide with tender issue date, confirming no further design changes or capturing any that have occurred since 31/03/2026.</t>
  </si>
  <si>
    <t xml:space="preserve">Fire Report p.1: '31/03/2026'.</t>
  </si>
  <si>
    <t xml:space="preserve">22481-Stage 2C Report p.1</t>
  </si>
  <si>
    <t xml:space="preserve">Findings by Discipline × Severity</t>
  </si>
</sst>
</file>

<file path=xl/styles.xml><?xml version="1.0" encoding="utf-8"?>
<styleSheet xmlns="http://schemas.openxmlformats.org/spreadsheetml/2006/main">
  <numFmts count="1">
    <numFmt numFmtId="164" formatCode="General"/>
  </numFmts>
  <fonts count="15">
    <font>
      <sz val="11"/>
      <color theme="1"/>
      <name val="Calibri"/>
      <family val="2"/>
      <charset val="1"/>
    </font>
    <font>
      <sz val="10"/>
      <name val="Arial"/>
      <family val="0"/>
    </font>
    <font>
      <sz val="10"/>
      <name val="Arial"/>
      <family val="0"/>
    </font>
    <font>
      <sz val="10"/>
      <name val="Arial"/>
      <family val="0"/>
    </font>
    <font>
      <sz val="10"/>
      <color rgb="FF5A5A5A"/>
      <name val="Calibri"/>
      <family val="0"/>
      <charset val="1"/>
    </font>
    <font>
      <b val="true"/>
      <sz val="22"/>
      <color rgb="FF1F3A5F"/>
      <name val="Calibri"/>
      <family val="0"/>
      <charset val="1"/>
    </font>
    <font>
      <i val="true"/>
      <sz val="12"/>
      <color rgb="FF5A5A5A"/>
      <name val="Calibri"/>
      <family val="0"/>
      <charset val="1"/>
    </font>
    <font>
      <b val="true"/>
      <sz val="14"/>
      <color rgb="FF1F3A5F"/>
      <name val="Calibri"/>
      <family val="0"/>
      <charset val="1"/>
    </font>
    <font>
      <b val="true"/>
      <sz val="10"/>
      <color rgb="FF1A1A1A"/>
      <name val="Calibri"/>
      <family val="0"/>
      <charset val="1"/>
    </font>
    <font>
      <b val="true"/>
      <sz val="10"/>
      <name val="Calibri"/>
      <family val="0"/>
      <charset val="1"/>
    </font>
    <font>
      <b val="true"/>
      <sz val="10"/>
      <color rgb="FFFFFFFF"/>
      <name val="Calibri"/>
      <family val="0"/>
      <charset val="1"/>
    </font>
    <font>
      <sz val="10"/>
      <name val="Calibri"/>
      <family val="0"/>
      <charset val="1"/>
    </font>
    <font>
      <b val="true"/>
      <sz val="9"/>
      <color rgb="FF1F3A5F"/>
      <name val="Calibri"/>
      <family val="0"/>
      <charset val="1"/>
    </font>
    <font>
      <sz val="9"/>
      <color rgb="FF1A1A1A"/>
      <name val="Calibri"/>
      <family val="0"/>
      <charset val="1"/>
    </font>
    <font>
      <b val="true"/>
      <sz val="9"/>
      <color rgb="FF1A1A1A"/>
      <name val="Calibri"/>
      <family val="0"/>
      <charset val="1"/>
    </font>
  </fonts>
  <fills count="8">
    <fill>
      <patternFill patternType="none"/>
    </fill>
    <fill>
      <patternFill patternType="gray125"/>
    </fill>
    <fill>
      <patternFill patternType="solid">
        <fgColor rgb="FFF8D7DA"/>
        <bgColor rgb="FFFFE5B4"/>
      </patternFill>
    </fill>
    <fill>
      <patternFill patternType="solid">
        <fgColor rgb="FFFFE5B4"/>
        <bgColor rgb="FFFFF4D6"/>
      </patternFill>
    </fill>
    <fill>
      <patternFill patternType="solid">
        <fgColor rgb="FFFFF4D6"/>
        <bgColor rgb="FFF4F6F8"/>
      </patternFill>
    </fill>
    <fill>
      <patternFill patternType="solid">
        <fgColor rgb="FFE2F0D9"/>
        <bgColor rgb="FFF4F6F8"/>
      </patternFill>
    </fill>
    <fill>
      <patternFill patternType="solid">
        <fgColor rgb="FF1F3A5F"/>
        <bgColor rgb="FF333399"/>
      </patternFill>
    </fill>
    <fill>
      <patternFill patternType="solid">
        <fgColor rgb="FFF4F6F8"/>
        <bgColor rgb="FFFFFFFF"/>
      </patternFill>
    </fill>
  </fills>
  <borders count="3">
    <border diagonalUp="false" diagonalDown="false">
      <left/>
      <right/>
      <top/>
      <bottom/>
      <diagonal/>
    </border>
    <border diagonalUp="false" diagonalDown="false">
      <left style="thin">
        <color rgb="FFB4B4B4"/>
      </left>
      <right style="thin">
        <color rgb="FFB4B4B4"/>
      </right>
      <top style="thin">
        <color rgb="FFB4B4B4"/>
      </top>
      <bottom style="thin">
        <color rgb="FFB4B4B4"/>
      </bottom>
      <diagonal/>
    </border>
    <border diagonalUp="false" diagonalDown="false">
      <left style="thin">
        <color rgb="FFB4B4B4"/>
      </left>
      <right style="thin">
        <color rgb="FFB4B4B4"/>
      </right>
      <top style="medium">
        <color rgb="FF1F3A5F"/>
      </top>
      <bottom style="medium">
        <color rgb="FF1F3A5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bottom" textRotation="0" wrapText="false" indent="0" shrinkToFit="false"/>
      <protection locked="true" hidden="false"/>
    </xf>
    <xf numFmtId="164" fontId="9" fillId="0" borderId="1" xfId="0" applyFont="true" applyBorder="true" applyAlignment="true" applyProtection="false">
      <alignment horizontal="center" vertical="bottom" textRotation="0" wrapText="false" indent="0" shrinkToFit="false"/>
      <protection locked="true" hidden="false"/>
    </xf>
    <xf numFmtId="164" fontId="8" fillId="3" borderId="1" xfId="0" applyFont="true" applyBorder="true" applyAlignment="true" applyProtection="false">
      <alignment horizontal="center" vertical="bottom" textRotation="0" wrapText="false" indent="0" shrinkToFit="false"/>
      <protection locked="true" hidden="false"/>
    </xf>
    <xf numFmtId="164" fontId="8" fillId="4" borderId="1" xfId="0" applyFont="true" applyBorder="true" applyAlignment="true" applyProtection="false">
      <alignment horizontal="center" vertical="bottom" textRotation="0" wrapText="false" indent="0" shrinkToFit="false"/>
      <protection locked="true" hidden="false"/>
    </xf>
    <xf numFmtId="164" fontId="8" fillId="5" borderId="1" xfId="0" applyFont="true" applyBorder="true" applyAlignment="true" applyProtection="false">
      <alignment horizontal="center" vertical="bottom" textRotation="0" wrapText="false" indent="0" shrinkToFit="false"/>
      <protection locked="true" hidden="false"/>
    </xf>
    <xf numFmtId="164" fontId="10" fillId="6" borderId="1" xfId="0" applyFont="true" applyBorder="true" applyAlignment="true" applyProtection="false">
      <alignment horizontal="center"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0" fillId="6" borderId="2" xfId="0" applyFont="true" applyBorder="true" applyAlignment="true" applyProtection="false">
      <alignment horizontal="center" vertical="center" textRotation="0" wrapText="true" indent="0" shrinkToFit="false"/>
      <protection locked="true" hidden="false"/>
    </xf>
    <xf numFmtId="164" fontId="12" fillId="0" borderId="1" xfId="0" applyFont="true" applyBorder="true" applyAlignment="true" applyProtection="false">
      <alignment horizontal="center" vertical="top" textRotation="0" wrapText="fals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4" fontId="14" fillId="2" borderId="1" xfId="0" applyFont="true" applyBorder="true" applyAlignment="true" applyProtection="false">
      <alignment horizontal="center" vertical="center" textRotation="0" wrapText="false" indent="0" shrinkToFit="false"/>
      <protection locked="true" hidden="false"/>
    </xf>
    <xf numFmtId="164" fontId="14" fillId="3" borderId="1" xfId="0" applyFont="true" applyBorder="true" applyAlignment="true" applyProtection="false">
      <alignment horizontal="center" vertical="center" textRotation="0" wrapText="false" indent="0" shrinkToFit="false"/>
      <protection locked="true" hidden="false"/>
    </xf>
    <xf numFmtId="164" fontId="14" fillId="4" borderId="1" xfId="0" applyFont="true" applyBorder="true" applyAlignment="true" applyProtection="false">
      <alignment horizontal="center" vertical="center" textRotation="0" wrapText="false" indent="0" shrinkToFit="false"/>
      <protection locked="true" hidden="false"/>
    </xf>
    <xf numFmtId="164" fontId="14" fillId="5" borderId="1" xfId="0" applyFont="true" applyBorder="true" applyAlignment="true" applyProtection="false">
      <alignment horizontal="center" vertical="center" textRotation="0" wrapText="false" indent="0" shrinkToFit="false"/>
      <protection locked="true" hidden="false"/>
    </xf>
    <xf numFmtId="164" fontId="10" fillId="6" borderId="2" xfId="0" applyFont="true" applyBorder="true" applyAlignment="false" applyProtection="false">
      <alignment horizontal="general" vertical="bottom" textRotation="0" wrapText="false" indent="0" shrinkToFit="false"/>
      <protection locked="true" hidden="false"/>
    </xf>
    <xf numFmtId="164" fontId="10" fillId="6" borderId="2" xfId="0" applyFont="true" applyBorder="true" applyAlignment="true" applyProtection="false">
      <alignment horizontal="center" vertical="bottom" textRotation="0" wrapText="false" indent="0" shrinkToFit="false"/>
      <protection locked="true" hidden="false"/>
    </xf>
    <xf numFmtId="164" fontId="9" fillId="7"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center" vertical="bottom" textRotation="0" wrapText="false" indent="0" shrinkToFit="false"/>
      <protection locked="true" hidden="false"/>
    </xf>
    <xf numFmtId="164" fontId="10" fillId="6"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3A5F"/>
          <bgColor rgb="FF000000"/>
        </patternFill>
      </fill>
    </dxf>
    <dxf>
      <fill>
        <patternFill patternType="solid">
          <bgColor rgb="FF000000"/>
        </patternFill>
      </fill>
    </dxf>
    <dxf>
      <fill>
        <patternFill patternType="solid">
          <fgColor rgb="FFFFFFFF"/>
          <bgColor rgb="FF000000"/>
        </patternFill>
      </fill>
    </dxf>
    <dxf>
      <fill>
        <patternFill patternType="solid">
          <fgColor rgb="FF1A1A1A"/>
          <bgColor rgb="FF000000"/>
        </patternFill>
      </fill>
    </dxf>
    <dxf>
      <fill>
        <patternFill patternType="solid">
          <fgColor rgb="FFE2F0D9"/>
          <bgColor rgb="FF000000"/>
        </patternFill>
      </fill>
    </dxf>
    <dxf>
      <fill>
        <patternFill patternType="solid">
          <fgColor rgb="FFF8D7DA"/>
          <bgColor rgb="FF000000"/>
        </patternFill>
      </fill>
    </dxf>
    <dxf>
      <fill>
        <patternFill patternType="solid">
          <fgColor rgb="FFFFE5B4"/>
          <bgColor rgb="FF000000"/>
        </patternFill>
      </fill>
    </dxf>
    <dxf>
      <fill>
        <patternFill patternType="solid">
          <fgColor rgb="FFFFF4D6"/>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B4B4"/>
      <rgbColor rgb="FF808080"/>
      <rgbColor rgb="FF9999FF"/>
      <rgbColor rgb="FF993366"/>
      <rgbColor rgb="FFFFF4D6"/>
      <rgbColor rgb="FFF4F6F8"/>
      <rgbColor rgb="FF660066"/>
      <rgbColor rgb="FFFF8080"/>
      <rgbColor rgb="FF0066CC"/>
      <rgbColor rgb="FFF8D7DA"/>
      <rgbColor rgb="FF000080"/>
      <rgbColor rgb="FFFF00FF"/>
      <rgbColor rgb="FFFFFF00"/>
      <rgbColor rgb="FF00FFFF"/>
      <rgbColor rgb="FF800080"/>
      <rgbColor rgb="FF800000"/>
      <rgbColor rgb="FF008080"/>
      <rgbColor rgb="FF0000FF"/>
      <rgbColor rgb="FF00CCFF"/>
      <rgbColor rgb="FFCCFFFF"/>
      <rgbColor rgb="FFE2F0D9"/>
      <rgbColor rgb="FFFFFF99"/>
      <rgbColor rgb="FF99CCFF"/>
      <rgbColor rgb="FFFF99CC"/>
      <rgbColor rgb="FFCC99FF"/>
      <rgbColor rgb="FFFFE5B4"/>
      <rgbColor rgb="FF3366FF"/>
      <rgbColor rgb="FF33CCCC"/>
      <rgbColor rgb="FF99CC00"/>
      <rgbColor rgb="FFFFCC00"/>
      <rgbColor rgb="FFFF9900"/>
      <rgbColor rgb="FFFF6600"/>
      <rgbColor rgb="FF5A5A5A"/>
      <rgbColor rgb="FF969696"/>
      <rgbColor rgb="FF1F3A5F"/>
      <rgbColor rgb="FF339966"/>
      <rgbColor rgb="FF003300"/>
      <rgbColor rgb="FF333300"/>
      <rgbColor rgb="FF993300"/>
      <rgbColor rgb="FF993366"/>
      <rgbColor rgb="FF333399"/>
      <rgbColor rgb="FF1A1A1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3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2" min="2" style="0" width="36"/>
    <col collapsed="false" customWidth="true" hidden="false" outlineLevel="0" max="3" min="3" style="0" width="16"/>
    <col collapsed="false" customWidth="true" hidden="false" outlineLevel="0" max="8" min="4" style="0" width="14"/>
  </cols>
  <sheetData>
    <row r="2" customFormat="false" ht="15" hidden="false" customHeight="false" outlineLevel="0" collapsed="false">
      <c r="B2" s="1" t="s">
        <v>0</v>
      </c>
    </row>
    <row r="3" customFormat="false" ht="26.8" hidden="false" customHeight="false" outlineLevel="0" collapsed="false">
      <c r="B3" s="2" t="s">
        <v>1</v>
      </c>
    </row>
    <row r="4" customFormat="false" ht="15" hidden="false" customHeight="false" outlineLevel="0" collapsed="false">
      <c r="B4" s="3" t="s">
        <v>2</v>
      </c>
    </row>
    <row r="6" customFormat="false" ht="17.35" hidden="false" customHeight="false" outlineLevel="0" collapsed="false">
      <c r="B6" s="4" t="s">
        <v>3</v>
      </c>
    </row>
    <row r="8" customFormat="false" ht="15" hidden="false" customHeight="false" outlineLevel="0" collapsed="false">
      <c r="B8" s="5" t="s">
        <v>4</v>
      </c>
      <c r="C8" s="6" t="n">
        <v>3</v>
      </c>
    </row>
    <row r="9" customFormat="false" ht="15" hidden="false" customHeight="false" outlineLevel="0" collapsed="false">
      <c r="B9" s="7" t="s">
        <v>5</v>
      </c>
      <c r="C9" s="6" t="n">
        <v>11</v>
      </c>
    </row>
    <row r="10" customFormat="false" ht="15" hidden="false" customHeight="false" outlineLevel="0" collapsed="false">
      <c r="B10" s="8" t="s">
        <v>6</v>
      </c>
      <c r="C10" s="6" t="n">
        <v>11</v>
      </c>
    </row>
    <row r="11" customFormat="false" ht="15" hidden="false" customHeight="false" outlineLevel="0" collapsed="false">
      <c r="B11" s="9" t="s">
        <v>7</v>
      </c>
      <c r="C11" s="6" t="n">
        <v>5</v>
      </c>
    </row>
    <row r="12" customFormat="false" ht="15" hidden="false" customHeight="false" outlineLevel="0" collapsed="false">
      <c r="B12" s="10" t="s">
        <v>8</v>
      </c>
      <c r="C12" s="6" t="n">
        <v>30</v>
      </c>
    </row>
    <row r="15" customFormat="false" ht="17.35" hidden="false" customHeight="false" outlineLevel="0" collapsed="false">
      <c r="B15" s="4" t="s">
        <v>9</v>
      </c>
    </row>
    <row r="17" customFormat="false" ht="15" hidden="false" customHeight="false" outlineLevel="0" collapsed="false">
      <c r="B17" s="11" t="s">
        <v>10</v>
      </c>
      <c r="C17" s="11"/>
      <c r="D17" s="11"/>
      <c r="E17" s="11"/>
      <c r="F17" s="11"/>
      <c r="G17" s="11"/>
      <c r="H17" s="11"/>
    </row>
    <row r="18" customFormat="false" ht="15" hidden="false" customHeight="false" outlineLevel="0" collapsed="false">
      <c r="B18" s="11" t="s">
        <v>11</v>
      </c>
      <c r="C18" s="11"/>
      <c r="D18" s="11"/>
      <c r="E18" s="11"/>
      <c r="F18" s="11"/>
      <c r="G18" s="11"/>
      <c r="H18" s="11"/>
    </row>
    <row r="19" customFormat="false" ht="15" hidden="false" customHeight="false" outlineLevel="0" collapsed="false">
      <c r="B19" s="11" t="s">
        <v>12</v>
      </c>
      <c r="C19" s="11"/>
      <c r="D19" s="11"/>
      <c r="E19" s="11"/>
      <c r="F19" s="11"/>
      <c r="G19" s="11"/>
      <c r="H19" s="11"/>
    </row>
    <row r="20" customFormat="false" ht="15" hidden="false" customHeight="false" outlineLevel="0" collapsed="false">
      <c r="B20" s="11" t="s">
        <v>13</v>
      </c>
      <c r="C20" s="11"/>
      <c r="D20" s="11"/>
      <c r="E20" s="11"/>
      <c r="F20" s="11"/>
      <c r="G20" s="11"/>
      <c r="H20" s="11"/>
    </row>
    <row r="21" customFormat="false" ht="15" hidden="false" customHeight="false" outlineLevel="0" collapsed="false">
      <c r="B21" s="11" t="s">
        <v>14</v>
      </c>
      <c r="C21" s="11"/>
      <c r="D21" s="11"/>
      <c r="E21" s="11"/>
      <c r="F21" s="11"/>
      <c r="G21" s="11"/>
      <c r="H21" s="11"/>
    </row>
    <row r="24" customFormat="false" ht="17.35" hidden="false" customHeight="false" outlineLevel="0" collapsed="false">
      <c r="B24" s="4" t="s">
        <v>15</v>
      </c>
    </row>
    <row r="26" customFormat="false" ht="15" hidden="false" customHeight="false" outlineLevel="0" collapsed="false">
      <c r="B26" s="11" t="s">
        <v>16</v>
      </c>
      <c r="C26" s="11"/>
      <c r="D26" s="11"/>
      <c r="E26" s="11"/>
      <c r="F26" s="11"/>
      <c r="G26" s="11"/>
      <c r="H26" s="11"/>
    </row>
    <row r="27" customFormat="false" ht="15" hidden="false" customHeight="false" outlineLevel="0" collapsed="false">
      <c r="B27" s="11" t="s">
        <v>17</v>
      </c>
      <c r="C27" s="11"/>
      <c r="D27" s="11"/>
      <c r="E27" s="11"/>
      <c r="F27" s="11"/>
      <c r="G27" s="11"/>
      <c r="H27" s="11"/>
    </row>
    <row r="28" customFormat="false" ht="15" hidden="false" customHeight="false" outlineLevel="0" collapsed="false">
      <c r="B28" s="11" t="s">
        <v>18</v>
      </c>
      <c r="C28" s="11"/>
      <c r="D28" s="11"/>
      <c r="E28" s="11"/>
      <c r="F28" s="11"/>
      <c r="G28" s="11"/>
      <c r="H28" s="11"/>
    </row>
    <row r="29" customFormat="false" ht="15" hidden="false" customHeight="false" outlineLevel="0" collapsed="false">
      <c r="B29" s="11" t="s">
        <v>19</v>
      </c>
      <c r="C29" s="11"/>
      <c r="D29" s="11"/>
      <c r="E29" s="11"/>
      <c r="F29" s="11"/>
      <c r="G29" s="11"/>
      <c r="H29" s="11"/>
    </row>
    <row r="30" customFormat="false" ht="15" hidden="false" customHeight="false" outlineLevel="0" collapsed="false">
      <c r="B30" s="11" t="s">
        <v>20</v>
      </c>
      <c r="C30" s="11"/>
      <c r="D30" s="11"/>
      <c r="E30" s="11"/>
      <c r="F30" s="11"/>
      <c r="G30" s="11"/>
      <c r="H30" s="11"/>
    </row>
    <row r="31" customFormat="false" ht="15" hidden="false" customHeight="false" outlineLevel="0" collapsed="false">
      <c r="B31" s="11" t="s">
        <v>21</v>
      </c>
      <c r="C31" s="11"/>
      <c r="D31" s="11"/>
      <c r="E31" s="11"/>
      <c r="F31" s="11"/>
      <c r="G31" s="11"/>
      <c r="H31" s="11"/>
    </row>
    <row r="32" customFormat="false" ht="15" hidden="false" customHeight="false" outlineLevel="0" collapsed="false">
      <c r="B32" s="11" t="s">
        <v>22</v>
      </c>
      <c r="C32" s="11"/>
      <c r="D32" s="11"/>
      <c r="E32" s="11"/>
      <c r="F32" s="11"/>
      <c r="G32" s="11"/>
      <c r="H32" s="11"/>
    </row>
  </sheetData>
  <mergeCells count="12">
    <mergeCell ref="B17:H17"/>
    <mergeCell ref="B18:H18"/>
    <mergeCell ref="B19:H19"/>
    <mergeCell ref="B20:H20"/>
    <mergeCell ref="B21:H21"/>
    <mergeCell ref="B26:H26"/>
    <mergeCell ref="B27:H27"/>
    <mergeCell ref="B28:H28"/>
    <mergeCell ref="B29:H29"/>
    <mergeCell ref="B30:H30"/>
    <mergeCell ref="B31:H31"/>
    <mergeCell ref="B32:H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12"/>
    <col collapsed="false" customWidth="true" hidden="false" outlineLevel="0" max="4" min="4" style="0" width="18"/>
    <col collapsed="false" customWidth="true" hidden="false" outlineLevel="0" max="6" min="5" style="0" width="26"/>
    <col collapsed="false" customWidth="true" hidden="false" outlineLevel="0" max="7" min="7" style="0" width="38"/>
    <col collapsed="false" customWidth="true" hidden="false" outlineLevel="0" max="10" min="8" style="0" width="50"/>
    <col collapsed="false" customWidth="true" hidden="false" outlineLevel="0" max="11" min="11" style="0" width="36"/>
    <col collapsed="false" customWidth="true" hidden="false" outlineLevel="0" max="12" min="12" style="0" width="18"/>
    <col collapsed="false" customWidth="true" hidden="false" outlineLevel="0" max="13" min="13" style="0" width="14"/>
  </cols>
  <sheetData>
    <row r="1" customFormat="false" ht="36" hidden="false" customHeight="true" outlineLevel="0" collapsed="false">
      <c r="A1" s="12" t="s">
        <v>23</v>
      </c>
      <c r="B1" s="12" t="s">
        <v>24</v>
      </c>
      <c r="C1" s="12" t="s">
        <v>25</v>
      </c>
      <c r="D1" s="12" t="s">
        <v>26</v>
      </c>
      <c r="E1" s="12" t="s">
        <v>27</v>
      </c>
      <c r="F1" s="12" t="s">
        <v>28</v>
      </c>
      <c r="G1" s="12" t="s">
        <v>29</v>
      </c>
      <c r="H1" s="12" t="s">
        <v>30</v>
      </c>
      <c r="I1" s="12" t="s">
        <v>31</v>
      </c>
      <c r="J1" s="12" t="s">
        <v>32</v>
      </c>
      <c r="K1" s="12" t="s">
        <v>33</v>
      </c>
      <c r="L1" s="12" t="s">
        <v>34</v>
      </c>
      <c r="M1" s="12" t="s">
        <v>35</v>
      </c>
    </row>
    <row r="2" customFormat="false" ht="139.5" hidden="false" customHeight="true" outlineLevel="0" collapsed="false">
      <c r="A2" s="13" t="s">
        <v>36</v>
      </c>
      <c r="B2" s="14" t="s">
        <v>37</v>
      </c>
      <c r="C2" s="15" t="s">
        <v>4</v>
      </c>
      <c r="D2" s="14" t="s">
        <v>38</v>
      </c>
      <c r="E2" s="14" t="s">
        <v>39</v>
      </c>
      <c r="F2" s="14" t="s">
        <v>40</v>
      </c>
      <c r="G2" s="14" t="s">
        <v>41</v>
      </c>
      <c r="H2" s="14" t="s">
        <v>42</v>
      </c>
      <c r="I2" s="14" t="s">
        <v>43</v>
      </c>
      <c r="J2" s="14" t="s">
        <v>44</v>
      </c>
      <c r="K2" s="14" t="s">
        <v>45</v>
      </c>
      <c r="L2" s="14" t="s">
        <v>46</v>
      </c>
      <c r="M2" s="14" t="s">
        <v>47</v>
      </c>
    </row>
    <row r="3" customFormat="false" ht="139.5" hidden="false" customHeight="true" outlineLevel="0" collapsed="false">
      <c r="A3" s="13" t="s">
        <v>48</v>
      </c>
      <c r="B3" s="14" t="s">
        <v>37</v>
      </c>
      <c r="C3" s="15" t="s">
        <v>4</v>
      </c>
      <c r="D3" s="14" t="s">
        <v>38</v>
      </c>
      <c r="E3" s="14" t="s">
        <v>49</v>
      </c>
      <c r="F3" s="14" t="s">
        <v>50</v>
      </c>
      <c r="G3" s="14" t="s">
        <v>51</v>
      </c>
      <c r="H3" s="14" t="s">
        <v>52</v>
      </c>
      <c r="I3" s="14" t="s">
        <v>53</v>
      </c>
      <c r="J3" s="14" t="s">
        <v>54</v>
      </c>
      <c r="K3" s="14" t="s">
        <v>55</v>
      </c>
      <c r="L3" s="14" t="s">
        <v>56</v>
      </c>
      <c r="M3" s="14" t="s">
        <v>47</v>
      </c>
    </row>
    <row r="4" customFormat="false" ht="139.5" hidden="false" customHeight="true" outlineLevel="0" collapsed="false">
      <c r="A4" s="13" t="s">
        <v>57</v>
      </c>
      <c r="B4" s="14" t="s">
        <v>37</v>
      </c>
      <c r="C4" s="15" t="s">
        <v>4</v>
      </c>
      <c r="D4" s="14" t="s">
        <v>58</v>
      </c>
      <c r="E4" s="14" t="s">
        <v>59</v>
      </c>
      <c r="F4" s="14" t="s">
        <v>60</v>
      </c>
      <c r="G4" s="14" t="s">
        <v>61</v>
      </c>
      <c r="H4" s="14" t="s">
        <v>62</v>
      </c>
      <c r="I4" s="14" t="s">
        <v>63</v>
      </c>
      <c r="J4" s="14" t="s">
        <v>64</v>
      </c>
      <c r="K4" s="14" t="s">
        <v>65</v>
      </c>
      <c r="L4" s="14" t="s">
        <v>56</v>
      </c>
      <c r="M4" s="14" t="s">
        <v>47</v>
      </c>
    </row>
    <row r="5" customFormat="false" ht="139.5" hidden="false" customHeight="true" outlineLevel="0" collapsed="false">
      <c r="A5" s="13" t="s">
        <v>66</v>
      </c>
      <c r="B5" s="14" t="s">
        <v>67</v>
      </c>
      <c r="C5" s="16" t="s">
        <v>5</v>
      </c>
      <c r="D5" s="14" t="s">
        <v>38</v>
      </c>
      <c r="E5" s="14" t="s">
        <v>68</v>
      </c>
      <c r="F5" s="14" t="s">
        <v>69</v>
      </c>
      <c r="G5" s="14" t="s">
        <v>70</v>
      </c>
      <c r="H5" s="14" t="s">
        <v>71</v>
      </c>
      <c r="I5" s="14" t="s">
        <v>72</v>
      </c>
      <c r="J5" s="14" t="s">
        <v>73</v>
      </c>
      <c r="K5" s="14" t="s">
        <v>74</v>
      </c>
      <c r="L5" s="14" t="s">
        <v>75</v>
      </c>
      <c r="M5" s="14" t="s">
        <v>47</v>
      </c>
    </row>
    <row r="6" customFormat="false" ht="139.5" hidden="false" customHeight="true" outlineLevel="0" collapsed="false">
      <c r="A6" s="13" t="s">
        <v>76</v>
      </c>
      <c r="B6" s="14" t="s">
        <v>67</v>
      </c>
      <c r="C6" s="16" t="s">
        <v>5</v>
      </c>
      <c r="D6" s="14" t="s">
        <v>38</v>
      </c>
      <c r="E6" s="14" t="s">
        <v>68</v>
      </c>
      <c r="F6" s="14" t="s">
        <v>77</v>
      </c>
      <c r="G6" s="14" t="s">
        <v>78</v>
      </c>
      <c r="H6" s="14" t="s">
        <v>79</v>
      </c>
      <c r="I6" s="14" t="s">
        <v>80</v>
      </c>
      <c r="J6" s="14" t="s">
        <v>81</v>
      </c>
      <c r="K6" s="14" t="s">
        <v>74</v>
      </c>
      <c r="L6" s="14" t="s">
        <v>75</v>
      </c>
      <c r="M6" s="14" t="s">
        <v>47</v>
      </c>
    </row>
    <row r="7" customFormat="false" ht="139.5" hidden="false" customHeight="true" outlineLevel="0" collapsed="false">
      <c r="A7" s="13" t="s">
        <v>82</v>
      </c>
      <c r="B7" s="14" t="s">
        <v>67</v>
      </c>
      <c r="C7" s="16" t="s">
        <v>5</v>
      </c>
      <c r="D7" s="14" t="s">
        <v>38</v>
      </c>
      <c r="E7" s="14" t="s">
        <v>83</v>
      </c>
      <c r="F7" s="14" t="s">
        <v>84</v>
      </c>
      <c r="G7" s="14" t="s">
        <v>85</v>
      </c>
      <c r="H7" s="14" t="s">
        <v>86</v>
      </c>
      <c r="I7" s="14" t="s">
        <v>87</v>
      </c>
      <c r="J7" s="14" t="s">
        <v>88</v>
      </c>
      <c r="K7" s="14" t="s">
        <v>89</v>
      </c>
      <c r="L7" s="14" t="s">
        <v>75</v>
      </c>
      <c r="M7" s="14" t="s">
        <v>47</v>
      </c>
    </row>
    <row r="8" customFormat="false" ht="139.5" hidden="false" customHeight="true" outlineLevel="0" collapsed="false">
      <c r="A8" s="13" t="s">
        <v>90</v>
      </c>
      <c r="B8" s="14" t="s">
        <v>67</v>
      </c>
      <c r="C8" s="17" t="s">
        <v>6</v>
      </c>
      <c r="D8" s="14" t="s">
        <v>38</v>
      </c>
      <c r="E8" s="14" t="s">
        <v>68</v>
      </c>
      <c r="F8" s="14" t="s">
        <v>91</v>
      </c>
      <c r="G8" s="14" t="s">
        <v>92</v>
      </c>
      <c r="H8" s="14" t="s">
        <v>93</v>
      </c>
      <c r="I8" s="14" t="s">
        <v>94</v>
      </c>
      <c r="J8" s="14" t="s">
        <v>95</v>
      </c>
      <c r="K8" s="14" t="s">
        <v>74</v>
      </c>
      <c r="L8" s="14" t="s">
        <v>75</v>
      </c>
      <c r="M8" s="14" t="s">
        <v>47</v>
      </c>
    </row>
    <row r="9" customFormat="false" ht="139.5" hidden="false" customHeight="true" outlineLevel="0" collapsed="false">
      <c r="A9" s="13" t="s">
        <v>96</v>
      </c>
      <c r="B9" s="14" t="s">
        <v>67</v>
      </c>
      <c r="C9" s="17" t="s">
        <v>6</v>
      </c>
      <c r="D9" s="14" t="s">
        <v>38</v>
      </c>
      <c r="E9" s="14" t="s">
        <v>68</v>
      </c>
      <c r="F9" s="14" t="s">
        <v>97</v>
      </c>
      <c r="G9" s="14" t="s">
        <v>98</v>
      </c>
      <c r="H9" s="14" t="s">
        <v>99</v>
      </c>
      <c r="I9" s="14" t="s">
        <v>100</v>
      </c>
      <c r="J9" s="14" t="s">
        <v>101</v>
      </c>
      <c r="K9" s="14" t="s">
        <v>102</v>
      </c>
      <c r="L9" s="14" t="s">
        <v>75</v>
      </c>
      <c r="M9" s="14" t="s">
        <v>47</v>
      </c>
    </row>
    <row r="10" customFormat="false" ht="139.5" hidden="false" customHeight="true" outlineLevel="0" collapsed="false">
      <c r="A10" s="13" t="s">
        <v>103</v>
      </c>
      <c r="B10" s="14" t="s">
        <v>67</v>
      </c>
      <c r="C10" s="17" t="s">
        <v>6</v>
      </c>
      <c r="D10" s="14" t="s">
        <v>38</v>
      </c>
      <c r="E10" s="14" t="s">
        <v>68</v>
      </c>
      <c r="F10" s="14" t="s">
        <v>104</v>
      </c>
      <c r="G10" s="14" t="s">
        <v>105</v>
      </c>
      <c r="H10" s="14" t="s">
        <v>106</v>
      </c>
      <c r="I10" s="14" t="s">
        <v>107</v>
      </c>
      <c r="J10" s="14" t="s">
        <v>108</v>
      </c>
      <c r="K10" s="14" t="s">
        <v>109</v>
      </c>
      <c r="L10" s="14" t="s">
        <v>75</v>
      </c>
      <c r="M10" s="14" t="s">
        <v>47</v>
      </c>
    </row>
    <row r="11" customFormat="false" ht="139.5" hidden="false" customHeight="true" outlineLevel="0" collapsed="false">
      <c r="A11" s="13" t="s">
        <v>110</v>
      </c>
      <c r="B11" s="14" t="s">
        <v>67</v>
      </c>
      <c r="C11" s="18" t="s">
        <v>7</v>
      </c>
      <c r="D11" s="14" t="s">
        <v>38</v>
      </c>
      <c r="E11" s="14" t="s">
        <v>68</v>
      </c>
      <c r="F11" s="14" t="s">
        <v>111</v>
      </c>
      <c r="G11" s="14" t="s">
        <v>112</v>
      </c>
      <c r="H11" s="14" t="s">
        <v>113</v>
      </c>
      <c r="I11" s="14" t="s">
        <v>114</v>
      </c>
      <c r="J11" s="14" t="s">
        <v>115</v>
      </c>
      <c r="K11" s="14" t="s">
        <v>74</v>
      </c>
      <c r="L11" s="14" t="s">
        <v>75</v>
      </c>
      <c r="M11" s="14" t="s">
        <v>47</v>
      </c>
    </row>
    <row r="12" customFormat="false" ht="139.5" hidden="false" customHeight="true" outlineLevel="0" collapsed="false">
      <c r="A12" s="13" t="s">
        <v>116</v>
      </c>
      <c r="B12" s="14" t="s">
        <v>67</v>
      </c>
      <c r="C12" s="18" t="s">
        <v>7</v>
      </c>
      <c r="D12" s="14" t="s">
        <v>38</v>
      </c>
      <c r="E12" s="14" t="s">
        <v>68</v>
      </c>
      <c r="F12" s="14" t="s">
        <v>117</v>
      </c>
      <c r="G12" s="14" t="s">
        <v>118</v>
      </c>
      <c r="H12" s="14" t="s">
        <v>119</v>
      </c>
      <c r="I12" s="14" t="s">
        <v>120</v>
      </c>
      <c r="J12" s="14" t="s">
        <v>121</v>
      </c>
      <c r="K12" s="14" t="s">
        <v>122</v>
      </c>
      <c r="L12" s="14" t="s">
        <v>75</v>
      </c>
      <c r="M12" s="14" t="s">
        <v>47</v>
      </c>
    </row>
    <row r="13" customFormat="false" ht="139.5" hidden="false" customHeight="true" outlineLevel="0" collapsed="false">
      <c r="A13" s="13" t="s">
        <v>123</v>
      </c>
      <c r="B13" s="14" t="s">
        <v>124</v>
      </c>
      <c r="C13" s="16" t="s">
        <v>5</v>
      </c>
      <c r="D13" s="14" t="s">
        <v>38</v>
      </c>
      <c r="E13" s="14" t="s">
        <v>125</v>
      </c>
      <c r="F13" s="14" t="s">
        <v>126</v>
      </c>
      <c r="G13" s="14" t="s">
        <v>127</v>
      </c>
      <c r="H13" s="14" t="s">
        <v>128</v>
      </c>
      <c r="I13" s="14" t="s">
        <v>129</v>
      </c>
      <c r="J13" s="14" t="s">
        <v>130</v>
      </c>
      <c r="K13" s="14" t="s">
        <v>131</v>
      </c>
      <c r="L13" s="14" t="s">
        <v>132</v>
      </c>
      <c r="M13" s="14" t="s">
        <v>47</v>
      </c>
    </row>
    <row r="14" customFormat="false" ht="139.5" hidden="false" customHeight="true" outlineLevel="0" collapsed="false">
      <c r="A14" s="13" t="s">
        <v>133</v>
      </c>
      <c r="B14" s="14" t="s">
        <v>124</v>
      </c>
      <c r="C14" s="16" t="s">
        <v>5</v>
      </c>
      <c r="D14" s="14" t="s">
        <v>38</v>
      </c>
      <c r="E14" s="14" t="s">
        <v>125</v>
      </c>
      <c r="F14" s="14" t="s">
        <v>134</v>
      </c>
      <c r="G14" s="14" t="s">
        <v>135</v>
      </c>
      <c r="H14" s="14" t="s">
        <v>136</v>
      </c>
      <c r="I14" s="14" t="s">
        <v>137</v>
      </c>
      <c r="J14" s="14" t="s">
        <v>138</v>
      </c>
      <c r="K14" s="14" t="s">
        <v>131</v>
      </c>
      <c r="L14" s="14" t="s">
        <v>132</v>
      </c>
      <c r="M14" s="14" t="s">
        <v>47</v>
      </c>
    </row>
    <row r="15" customFormat="false" ht="139.5" hidden="false" customHeight="true" outlineLevel="0" collapsed="false">
      <c r="A15" s="13" t="s">
        <v>139</v>
      </c>
      <c r="B15" s="14" t="s">
        <v>124</v>
      </c>
      <c r="C15" s="16" t="s">
        <v>5</v>
      </c>
      <c r="D15" s="14" t="s">
        <v>58</v>
      </c>
      <c r="E15" s="14" t="s">
        <v>140</v>
      </c>
      <c r="F15" s="14" t="s">
        <v>141</v>
      </c>
      <c r="G15" s="14" t="s">
        <v>142</v>
      </c>
      <c r="H15" s="14" t="s">
        <v>143</v>
      </c>
      <c r="I15" s="14" t="s">
        <v>144</v>
      </c>
      <c r="J15" s="14" t="s">
        <v>145</v>
      </c>
      <c r="K15" s="14" t="s">
        <v>146</v>
      </c>
      <c r="L15" s="14" t="s">
        <v>132</v>
      </c>
      <c r="M15" s="14" t="s">
        <v>47</v>
      </c>
    </row>
    <row r="16" customFormat="false" ht="139.5" hidden="false" customHeight="true" outlineLevel="0" collapsed="false">
      <c r="A16" s="13" t="s">
        <v>147</v>
      </c>
      <c r="B16" s="14" t="s">
        <v>124</v>
      </c>
      <c r="C16" s="17" t="s">
        <v>6</v>
      </c>
      <c r="D16" s="14" t="s">
        <v>38</v>
      </c>
      <c r="E16" s="14" t="s">
        <v>125</v>
      </c>
      <c r="F16" s="14" t="s">
        <v>148</v>
      </c>
      <c r="G16" s="14" t="s">
        <v>149</v>
      </c>
      <c r="H16" s="14" t="s">
        <v>150</v>
      </c>
      <c r="I16" s="14" t="s">
        <v>151</v>
      </c>
      <c r="J16" s="14" t="s">
        <v>152</v>
      </c>
      <c r="K16" s="14" t="s">
        <v>131</v>
      </c>
      <c r="L16" s="14" t="s">
        <v>132</v>
      </c>
      <c r="M16" s="14" t="s">
        <v>47</v>
      </c>
    </row>
    <row r="17" customFormat="false" ht="139.5" hidden="false" customHeight="true" outlineLevel="0" collapsed="false">
      <c r="A17" s="13" t="s">
        <v>153</v>
      </c>
      <c r="B17" s="14" t="s">
        <v>124</v>
      </c>
      <c r="C17" s="17" t="s">
        <v>6</v>
      </c>
      <c r="D17" s="14" t="s">
        <v>38</v>
      </c>
      <c r="E17" s="14" t="s">
        <v>125</v>
      </c>
      <c r="F17" s="14" t="s">
        <v>154</v>
      </c>
      <c r="G17" s="14" t="s">
        <v>98</v>
      </c>
      <c r="H17" s="14" t="s">
        <v>155</v>
      </c>
      <c r="I17" s="14" t="s">
        <v>156</v>
      </c>
      <c r="J17" s="14" t="s">
        <v>157</v>
      </c>
      <c r="K17" s="14" t="s">
        <v>131</v>
      </c>
      <c r="L17" s="14" t="s">
        <v>132</v>
      </c>
      <c r="M17" s="14" t="s">
        <v>47</v>
      </c>
    </row>
    <row r="18" customFormat="false" ht="139.5" hidden="false" customHeight="true" outlineLevel="0" collapsed="false">
      <c r="A18" s="13" t="s">
        <v>158</v>
      </c>
      <c r="B18" s="14" t="s">
        <v>124</v>
      </c>
      <c r="C18" s="18" t="s">
        <v>7</v>
      </c>
      <c r="D18" s="14" t="s">
        <v>38</v>
      </c>
      <c r="E18" s="14" t="s">
        <v>125</v>
      </c>
      <c r="F18" s="14" t="s">
        <v>159</v>
      </c>
      <c r="G18" s="14" t="s">
        <v>112</v>
      </c>
      <c r="H18" s="14" t="s">
        <v>160</v>
      </c>
      <c r="I18" s="14" t="s">
        <v>161</v>
      </c>
      <c r="J18" s="14" t="s">
        <v>162</v>
      </c>
      <c r="K18" s="14" t="s">
        <v>131</v>
      </c>
      <c r="L18" s="14" t="s">
        <v>132</v>
      </c>
      <c r="M18" s="14" t="s">
        <v>47</v>
      </c>
    </row>
    <row r="19" customFormat="false" ht="139.5" hidden="false" customHeight="true" outlineLevel="0" collapsed="false">
      <c r="A19" s="13" t="s">
        <v>163</v>
      </c>
      <c r="B19" s="14" t="s">
        <v>124</v>
      </c>
      <c r="C19" s="18" t="s">
        <v>7</v>
      </c>
      <c r="D19" s="14" t="s">
        <v>38</v>
      </c>
      <c r="E19" s="14" t="s">
        <v>125</v>
      </c>
      <c r="F19" s="14" t="s">
        <v>164</v>
      </c>
      <c r="G19" s="14" t="s">
        <v>165</v>
      </c>
      <c r="H19" s="14" t="s">
        <v>166</v>
      </c>
      <c r="I19" s="14" t="s">
        <v>167</v>
      </c>
      <c r="J19" s="14" t="s">
        <v>168</v>
      </c>
      <c r="K19" s="14" t="s">
        <v>131</v>
      </c>
      <c r="L19" s="14" t="s">
        <v>132</v>
      </c>
      <c r="M19" s="14" t="s">
        <v>47</v>
      </c>
    </row>
    <row r="20" customFormat="false" ht="139.5" hidden="false" customHeight="true" outlineLevel="0" collapsed="false">
      <c r="A20" s="13" t="s">
        <v>169</v>
      </c>
      <c r="B20" s="14" t="s">
        <v>170</v>
      </c>
      <c r="C20" s="16" t="s">
        <v>5</v>
      </c>
      <c r="D20" s="14" t="s">
        <v>38</v>
      </c>
      <c r="E20" s="14" t="s">
        <v>171</v>
      </c>
      <c r="F20" s="14" t="s">
        <v>172</v>
      </c>
      <c r="G20" s="14" t="s">
        <v>173</v>
      </c>
      <c r="H20" s="14" t="s">
        <v>174</v>
      </c>
      <c r="I20" s="14" t="s">
        <v>175</v>
      </c>
      <c r="J20" s="14" t="s">
        <v>176</v>
      </c>
      <c r="K20" s="14" t="s">
        <v>177</v>
      </c>
      <c r="L20" s="14" t="s">
        <v>178</v>
      </c>
      <c r="M20" s="14" t="s">
        <v>47</v>
      </c>
    </row>
    <row r="21" customFormat="false" ht="139.5" hidden="false" customHeight="true" outlineLevel="0" collapsed="false">
      <c r="A21" s="13" t="s">
        <v>179</v>
      </c>
      <c r="B21" s="14" t="s">
        <v>170</v>
      </c>
      <c r="C21" s="17" t="s">
        <v>6</v>
      </c>
      <c r="D21" s="14" t="s">
        <v>38</v>
      </c>
      <c r="E21" s="14" t="s">
        <v>180</v>
      </c>
      <c r="F21" s="14" t="s">
        <v>181</v>
      </c>
      <c r="G21" s="14" t="s">
        <v>182</v>
      </c>
      <c r="H21" s="14" t="s">
        <v>183</v>
      </c>
      <c r="I21" s="14" t="s">
        <v>184</v>
      </c>
      <c r="J21" s="14" t="s">
        <v>185</v>
      </c>
      <c r="K21" s="14" t="s">
        <v>186</v>
      </c>
      <c r="L21" s="14" t="s">
        <v>178</v>
      </c>
      <c r="M21" s="14" t="s">
        <v>47</v>
      </c>
    </row>
    <row r="22" customFormat="false" ht="139.5" hidden="false" customHeight="true" outlineLevel="0" collapsed="false">
      <c r="A22" s="13" t="s">
        <v>187</v>
      </c>
      <c r="B22" s="14" t="s">
        <v>170</v>
      </c>
      <c r="C22" s="17" t="s">
        <v>6</v>
      </c>
      <c r="D22" s="14" t="s">
        <v>38</v>
      </c>
      <c r="E22" s="14" t="s">
        <v>180</v>
      </c>
      <c r="F22" s="14" t="s">
        <v>188</v>
      </c>
      <c r="G22" s="14" t="s">
        <v>189</v>
      </c>
      <c r="H22" s="14" t="s">
        <v>190</v>
      </c>
      <c r="I22" s="14" t="s">
        <v>191</v>
      </c>
      <c r="J22" s="14" t="s">
        <v>192</v>
      </c>
      <c r="K22" s="14" t="s">
        <v>186</v>
      </c>
      <c r="L22" s="14" t="s">
        <v>178</v>
      </c>
      <c r="M22" s="14" t="s">
        <v>47</v>
      </c>
    </row>
    <row r="23" customFormat="false" ht="139.5" hidden="false" customHeight="true" outlineLevel="0" collapsed="false">
      <c r="A23" s="13" t="s">
        <v>193</v>
      </c>
      <c r="B23" s="14" t="s">
        <v>170</v>
      </c>
      <c r="C23" s="18" t="s">
        <v>7</v>
      </c>
      <c r="D23" s="14" t="s">
        <v>38</v>
      </c>
      <c r="E23" s="14" t="s">
        <v>194</v>
      </c>
      <c r="F23" s="14" t="s">
        <v>195</v>
      </c>
      <c r="G23" s="14" t="s">
        <v>196</v>
      </c>
      <c r="H23" s="14" t="s">
        <v>197</v>
      </c>
      <c r="I23" s="14" t="s">
        <v>198</v>
      </c>
      <c r="J23" s="14" t="s">
        <v>199</v>
      </c>
      <c r="K23" s="14" t="s">
        <v>200</v>
      </c>
      <c r="L23" s="14" t="s">
        <v>178</v>
      </c>
      <c r="M23" s="14" t="s">
        <v>47</v>
      </c>
    </row>
    <row r="24" customFormat="false" ht="139.5" hidden="false" customHeight="true" outlineLevel="0" collapsed="false">
      <c r="A24" s="13" t="s">
        <v>201</v>
      </c>
      <c r="B24" s="14" t="s">
        <v>202</v>
      </c>
      <c r="C24" s="16" t="s">
        <v>5</v>
      </c>
      <c r="D24" s="14" t="s">
        <v>58</v>
      </c>
      <c r="E24" s="14" t="s">
        <v>203</v>
      </c>
      <c r="F24" s="14" t="s">
        <v>204</v>
      </c>
      <c r="G24" s="14" t="s">
        <v>205</v>
      </c>
      <c r="H24" s="14" t="s">
        <v>206</v>
      </c>
      <c r="I24" s="14" t="s">
        <v>207</v>
      </c>
      <c r="J24" s="14" t="s">
        <v>208</v>
      </c>
      <c r="K24" s="14" t="s">
        <v>209</v>
      </c>
      <c r="L24" s="14" t="s">
        <v>210</v>
      </c>
      <c r="M24" s="14" t="s">
        <v>47</v>
      </c>
    </row>
    <row r="25" customFormat="false" ht="139.5" hidden="false" customHeight="true" outlineLevel="0" collapsed="false">
      <c r="A25" s="13" t="s">
        <v>211</v>
      </c>
      <c r="B25" s="14" t="s">
        <v>202</v>
      </c>
      <c r="C25" s="16" t="s">
        <v>5</v>
      </c>
      <c r="D25" s="14" t="s">
        <v>58</v>
      </c>
      <c r="E25" s="14" t="s">
        <v>212</v>
      </c>
      <c r="F25" s="14" t="s">
        <v>213</v>
      </c>
      <c r="G25" s="14" t="s">
        <v>214</v>
      </c>
      <c r="H25" s="14" t="s">
        <v>215</v>
      </c>
      <c r="I25" s="14" t="s">
        <v>216</v>
      </c>
      <c r="J25" s="14" t="s">
        <v>217</v>
      </c>
      <c r="K25" s="14" t="s">
        <v>218</v>
      </c>
      <c r="L25" s="14" t="s">
        <v>75</v>
      </c>
      <c r="M25" s="14" t="s">
        <v>47</v>
      </c>
    </row>
    <row r="26" customFormat="false" ht="139.5" hidden="false" customHeight="true" outlineLevel="0" collapsed="false">
      <c r="A26" s="13" t="s">
        <v>219</v>
      </c>
      <c r="B26" s="14" t="s">
        <v>202</v>
      </c>
      <c r="C26" s="16" t="s">
        <v>5</v>
      </c>
      <c r="D26" s="14" t="s">
        <v>58</v>
      </c>
      <c r="E26" s="14" t="s">
        <v>220</v>
      </c>
      <c r="F26" s="14" t="s">
        <v>221</v>
      </c>
      <c r="G26" s="14" t="s">
        <v>222</v>
      </c>
      <c r="H26" s="14" t="s">
        <v>223</v>
      </c>
      <c r="I26" s="14" t="s">
        <v>224</v>
      </c>
      <c r="J26" s="14" t="s">
        <v>225</v>
      </c>
      <c r="K26" s="14" t="s">
        <v>226</v>
      </c>
      <c r="L26" s="14" t="s">
        <v>178</v>
      </c>
      <c r="M26" s="14" t="s">
        <v>47</v>
      </c>
    </row>
    <row r="27" customFormat="false" ht="139.5" hidden="false" customHeight="true" outlineLevel="0" collapsed="false">
      <c r="A27" s="13" t="s">
        <v>227</v>
      </c>
      <c r="B27" s="14" t="s">
        <v>202</v>
      </c>
      <c r="C27" s="17" t="s">
        <v>6</v>
      </c>
      <c r="D27" s="14" t="s">
        <v>58</v>
      </c>
      <c r="E27" s="14" t="s">
        <v>228</v>
      </c>
      <c r="F27" s="14" t="s">
        <v>229</v>
      </c>
      <c r="G27" s="14" t="s">
        <v>230</v>
      </c>
      <c r="H27" s="14" t="s">
        <v>231</v>
      </c>
      <c r="I27" s="14" t="s">
        <v>232</v>
      </c>
      <c r="J27" s="14" t="s">
        <v>233</v>
      </c>
      <c r="K27" s="14" t="s">
        <v>234</v>
      </c>
      <c r="L27" s="14" t="s">
        <v>178</v>
      </c>
      <c r="M27" s="14" t="s">
        <v>47</v>
      </c>
    </row>
    <row r="28" customFormat="false" ht="139.5" hidden="false" customHeight="true" outlineLevel="0" collapsed="false">
      <c r="A28" s="13" t="s">
        <v>235</v>
      </c>
      <c r="B28" s="14" t="s">
        <v>202</v>
      </c>
      <c r="C28" s="17" t="s">
        <v>6</v>
      </c>
      <c r="D28" s="14" t="s">
        <v>58</v>
      </c>
      <c r="E28" s="14" t="s">
        <v>236</v>
      </c>
      <c r="F28" s="14" t="s">
        <v>237</v>
      </c>
      <c r="G28" s="14" t="s">
        <v>238</v>
      </c>
      <c r="H28" s="14" t="s">
        <v>239</v>
      </c>
      <c r="I28" s="14" t="s">
        <v>240</v>
      </c>
      <c r="J28" s="14" t="s">
        <v>241</v>
      </c>
      <c r="K28" s="14" t="s">
        <v>218</v>
      </c>
      <c r="L28" s="14" t="s">
        <v>75</v>
      </c>
      <c r="M28" s="14" t="s">
        <v>47</v>
      </c>
    </row>
    <row r="29" customFormat="false" ht="139.5" hidden="false" customHeight="true" outlineLevel="0" collapsed="false">
      <c r="A29" s="13" t="s">
        <v>242</v>
      </c>
      <c r="B29" s="14" t="s">
        <v>202</v>
      </c>
      <c r="C29" s="17" t="s">
        <v>6</v>
      </c>
      <c r="D29" s="14" t="s">
        <v>58</v>
      </c>
      <c r="E29" s="14" t="s">
        <v>243</v>
      </c>
      <c r="F29" s="14" t="s">
        <v>244</v>
      </c>
      <c r="G29" s="14" t="s">
        <v>245</v>
      </c>
      <c r="H29" s="14" t="s">
        <v>246</v>
      </c>
      <c r="I29" s="14" t="s">
        <v>247</v>
      </c>
      <c r="J29" s="14" t="s">
        <v>248</v>
      </c>
      <c r="K29" s="14" t="s">
        <v>234</v>
      </c>
      <c r="L29" s="14" t="s">
        <v>249</v>
      </c>
      <c r="M29" s="14" t="s">
        <v>47</v>
      </c>
    </row>
    <row r="30" customFormat="false" ht="139.5" hidden="false" customHeight="true" outlineLevel="0" collapsed="false">
      <c r="A30" s="13" t="s">
        <v>250</v>
      </c>
      <c r="B30" s="14" t="s">
        <v>202</v>
      </c>
      <c r="C30" s="16" t="s">
        <v>5</v>
      </c>
      <c r="D30" s="14" t="s">
        <v>251</v>
      </c>
      <c r="E30" s="14" t="s">
        <v>252</v>
      </c>
      <c r="F30" s="14" t="s">
        <v>253</v>
      </c>
      <c r="G30" s="14" t="s">
        <v>254</v>
      </c>
      <c r="H30" s="14" t="s">
        <v>255</v>
      </c>
      <c r="I30" s="14" t="s">
        <v>256</v>
      </c>
      <c r="J30" s="14" t="s">
        <v>257</v>
      </c>
      <c r="K30" s="14" t="s">
        <v>258</v>
      </c>
      <c r="L30" s="14" t="s">
        <v>75</v>
      </c>
      <c r="M30" s="14" t="s">
        <v>47</v>
      </c>
    </row>
    <row r="31" customFormat="false" ht="139.5" hidden="false" customHeight="true" outlineLevel="0" collapsed="false">
      <c r="A31" s="13" t="s">
        <v>259</v>
      </c>
      <c r="B31" s="14" t="s">
        <v>202</v>
      </c>
      <c r="C31" s="17" t="s">
        <v>6</v>
      </c>
      <c r="D31" s="14" t="s">
        <v>38</v>
      </c>
      <c r="E31" s="14" t="s">
        <v>212</v>
      </c>
      <c r="F31" s="14" t="s">
        <v>260</v>
      </c>
      <c r="G31" s="14" t="s">
        <v>261</v>
      </c>
      <c r="H31" s="14" t="s">
        <v>262</v>
      </c>
      <c r="I31" s="14" t="s">
        <v>263</v>
      </c>
      <c r="J31" s="14" t="s">
        <v>264</v>
      </c>
      <c r="K31" s="14" t="s">
        <v>265</v>
      </c>
      <c r="L31" s="14" t="s">
        <v>210</v>
      </c>
      <c r="M31" s="14" t="s">
        <v>47</v>
      </c>
    </row>
  </sheetData>
  <autoFilter ref="A1:M3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2" min="2" style="0" width="22"/>
    <col collapsed="false" customWidth="true" hidden="false" outlineLevel="0" max="7" min="3" style="0" width="12"/>
  </cols>
  <sheetData>
    <row r="2" customFormat="false" ht="17.35" hidden="false" customHeight="false" outlineLevel="0" collapsed="false">
      <c r="B2" s="4" t="s">
        <v>266</v>
      </c>
    </row>
    <row r="4" customFormat="false" ht="15" hidden="false" customHeight="false" outlineLevel="0" collapsed="false">
      <c r="B4" s="19" t="s">
        <v>24</v>
      </c>
      <c r="C4" s="20" t="s">
        <v>4</v>
      </c>
      <c r="D4" s="20" t="s">
        <v>5</v>
      </c>
      <c r="E4" s="20" t="s">
        <v>6</v>
      </c>
      <c r="F4" s="20" t="s">
        <v>7</v>
      </c>
      <c r="G4" s="20" t="s">
        <v>8</v>
      </c>
    </row>
    <row r="5" customFormat="false" ht="15" hidden="false" customHeight="false" outlineLevel="0" collapsed="false">
      <c r="B5" s="21" t="s">
        <v>67</v>
      </c>
      <c r="C5" s="22" t="n">
        <f aca="false">COUNTIFS(Findings!$B$2:$B$31,"ARCHITECTURAL",Findings!$C$2:$C$31,"CRITICAL")</f>
        <v>0</v>
      </c>
      <c r="D5" s="22" t="n">
        <f aca="false">COUNTIFS(Findings!$B$2:$B$31,"ARCHITECTURAL",Findings!$C$2:$C$31,"HIGH")</f>
        <v>3</v>
      </c>
      <c r="E5" s="22" t="n">
        <f aca="false">COUNTIFS(Findings!$B$2:$B$31,"ARCHITECTURAL",Findings!$C$2:$C$31,"MEDIUM")</f>
        <v>3</v>
      </c>
      <c r="F5" s="22" t="n">
        <f aca="false">COUNTIFS(Findings!$B$2:$B$31,"ARCHITECTURAL",Findings!$C$2:$C$31,"LOW")</f>
        <v>2</v>
      </c>
      <c r="G5" s="22" t="n">
        <f aca="false">COUNTIF(Findings!$B$2:$B$31,"ARCHITECTURAL")</f>
        <v>8</v>
      </c>
    </row>
    <row r="6" customFormat="false" ht="15" hidden="false" customHeight="false" outlineLevel="0" collapsed="false">
      <c r="B6" s="21" t="s">
        <v>124</v>
      </c>
      <c r="C6" s="22" t="n">
        <f aca="false">COUNTIFS(Findings!$B$2:$B$31,"C&amp;S",Findings!$C$2:$C$31,"CRITICAL")</f>
        <v>0</v>
      </c>
      <c r="D6" s="22" t="n">
        <f aca="false">COUNTIFS(Findings!$B$2:$B$31,"C&amp;S",Findings!$C$2:$C$31,"HIGH")</f>
        <v>3</v>
      </c>
      <c r="E6" s="22" t="n">
        <f aca="false">COUNTIFS(Findings!$B$2:$B$31,"C&amp;S",Findings!$C$2:$C$31,"MEDIUM")</f>
        <v>2</v>
      </c>
      <c r="F6" s="22" t="n">
        <f aca="false">COUNTIFS(Findings!$B$2:$B$31,"C&amp;S",Findings!$C$2:$C$31,"LOW")</f>
        <v>2</v>
      </c>
      <c r="G6" s="22" t="n">
        <f aca="false">COUNTIF(Findings!$B$2:$B$31,"C&amp;S")</f>
        <v>7</v>
      </c>
    </row>
    <row r="7" customFormat="false" ht="15" hidden="false" customHeight="false" outlineLevel="0" collapsed="false">
      <c r="B7" s="21" t="s">
        <v>37</v>
      </c>
      <c r="C7" s="22" t="n">
        <f aca="false">COUNTIFS(Findings!$B$2:$B$31,"CONTRACT/PACK",Findings!$C$2:$C$31,"CRITICAL")</f>
        <v>3</v>
      </c>
      <c r="D7" s="22" t="n">
        <f aca="false">COUNTIFS(Findings!$B$2:$B$31,"CONTRACT/PACK",Findings!$C$2:$C$31,"HIGH")</f>
        <v>0</v>
      </c>
      <c r="E7" s="22" t="n">
        <f aca="false">COUNTIFS(Findings!$B$2:$B$31,"CONTRACT/PACK",Findings!$C$2:$C$31,"MEDIUM")</f>
        <v>0</v>
      </c>
      <c r="F7" s="22" t="n">
        <f aca="false">COUNTIFS(Findings!$B$2:$B$31,"CONTRACT/PACK",Findings!$C$2:$C$31,"LOW")</f>
        <v>0</v>
      </c>
      <c r="G7" s="22" t="n">
        <f aca="false">COUNTIF(Findings!$B$2:$B$31,"CONTRACT/PACK")</f>
        <v>3</v>
      </c>
    </row>
    <row r="8" customFormat="false" ht="15" hidden="false" customHeight="false" outlineLevel="0" collapsed="false">
      <c r="B8" s="21" t="s">
        <v>202</v>
      </c>
      <c r="C8" s="22" t="n">
        <f aca="false">COUNTIFS(Findings!$B$2:$B$31,"FIRE",Findings!$C$2:$C$31,"CRITICAL")</f>
        <v>0</v>
      </c>
      <c r="D8" s="22" t="n">
        <f aca="false">COUNTIFS(Findings!$B$2:$B$31,"FIRE",Findings!$C$2:$C$31,"HIGH")</f>
        <v>4</v>
      </c>
      <c r="E8" s="22" t="n">
        <f aca="false">COUNTIFS(Findings!$B$2:$B$31,"FIRE",Findings!$C$2:$C$31,"MEDIUM")</f>
        <v>4</v>
      </c>
      <c r="F8" s="22" t="n">
        <f aca="false">COUNTIFS(Findings!$B$2:$B$31,"FIRE",Findings!$C$2:$C$31,"LOW")</f>
        <v>0</v>
      </c>
      <c r="G8" s="22" t="n">
        <f aca="false">COUNTIF(Findings!$B$2:$B$31,"FIRE")</f>
        <v>8</v>
      </c>
    </row>
    <row r="9" customFormat="false" ht="15" hidden="false" customHeight="false" outlineLevel="0" collapsed="false">
      <c r="B9" s="21" t="s">
        <v>170</v>
      </c>
      <c r="C9" s="22" t="n">
        <f aca="false">COUNTIFS(Findings!$B$2:$B$31,"M&amp;E",Findings!$C$2:$C$31,"CRITICAL")</f>
        <v>0</v>
      </c>
      <c r="D9" s="22" t="n">
        <f aca="false">COUNTIFS(Findings!$B$2:$B$31,"M&amp;E",Findings!$C$2:$C$31,"HIGH")</f>
        <v>1</v>
      </c>
      <c r="E9" s="22" t="n">
        <f aca="false">COUNTIFS(Findings!$B$2:$B$31,"M&amp;E",Findings!$C$2:$C$31,"MEDIUM")</f>
        <v>2</v>
      </c>
      <c r="F9" s="22" t="n">
        <f aca="false">COUNTIFS(Findings!$B$2:$B$31,"M&amp;E",Findings!$C$2:$C$31,"LOW")</f>
        <v>1</v>
      </c>
      <c r="G9" s="22" t="n">
        <f aca="false">COUNTIF(Findings!$B$2:$B$31,"M&amp;E")</f>
        <v>4</v>
      </c>
    </row>
    <row r="10" customFormat="false" ht="15" hidden="false" customHeight="false" outlineLevel="0" collapsed="false">
      <c r="B10" s="23" t="s">
        <v>8</v>
      </c>
      <c r="C10" s="6" t="n">
        <f aca="false">COUNTIF(Findings!$C$2:$C$31,"CRITICAL")</f>
        <v>3</v>
      </c>
      <c r="D10" s="6" t="n">
        <f aca="false">COUNTIF(Findings!$C$2:$C$31,"HIGH")</f>
        <v>11</v>
      </c>
      <c r="E10" s="6" t="n">
        <f aca="false">COUNTIF(Findings!$C$2:$C$31,"MEDIUM")</f>
        <v>11</v>
      </c>
      <c r="F10" s="6" t="n">
        <f aca="false">COUNTIF(Findings!$C$2:$C$31,"LOW")</f>
        <v>5</v>
      </c>
      <c r="G10" s="6" t="n">
        <f aca="false">COUNTA(Findings!$A$2:$A$31)</f>
        <v>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2026-05-27T13:41:40Z</dcterms:created>
  <dc:creator>openpyxl</dc:creator>
  <dc:description/>
  <dc:language>en-US</dc:language>
  <cp:lastModifiedBy/>
  <dcterms:modified xsi:type="dcterms:W3CDTF">2026-05-27T13:41:40Z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