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Cashflow Y1" sheetId="2" state="visible" r:id="rId4"/>
    <sheet name="Tier Economics" sheetId="3" state="visible" r:id="rId5"/>
    <sheet name="Annual Summary" sheetId="4" state="visible" r:id="rId6"/>
    <sheet name="Fundraise Ladder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<sst xmlns="http://schemas.openxmlformats.org/spreadsheetml/2006/main" count="238" uniqueCount="209">
  <si>
    <t xml:space="preserve">VerifIQ — Financial Model</t>
  </si>
  <si>
    <t xml:space="preserve">Solo-reviewer phase · VerifIQ inside GovIQ Ltd · Ireland launch</t>
  </si>
  <si>
    <t xml:space="preserve">v0.1 · 2026-06-01 · Liam Doolan</t>
  </si>
  <si>
    <t xml:space="preserve">Frame</t>
  </si>
  <si>
    <t xml:space="preserve">VerifIQ ships as a product line inside GovIQ Ltd. Only incremental cash is modelled here. Solo reviewer phase (founder signs within discipline) avoids panel honoraria until trigger fires. Five tiers; early-pilot 30% off first ten practices.</t>
  </si>
  <si>
    <t xml:space="preserve">Color conventions</t>
  </si>
  <si>
    <t xml:space="preserve">Inputs (change for scenarios)</t>
  </si>
  <si>
    <t xml:space="preserve">Calculations / formulas</t>
  </si>
  <si>
    <t xml:space="preserve">Cross-sheet references</t>
  </si>
  <si>
    <t xml:space="preserve">Key assumption — review</t>
  </si>
  <si>
    <t xml:space="preserve">Core Inputs</t>
  </si>
  <si>
    <t xml:space="preserve">Parameter</t>
  </si>
  <si>
    <t xml:space="preserve">Value</t>
  </si>
  <si>
    <t xml:space="preserve">Unit</t>
  </si>
  <si>
    <t xml:space="preserve">Notes</t>
  </si>
  <si>
    <t xml:space="preserve">Tier I — Small price (per pack)</t>
  </si>
  <si>
    <t xml:space="preserve">€</t>
  </si>
  <si>
    <t xml:space="preserve">Doc 14 launch pricing</t>
  </si>
  <si>
    <t xml:space="preserve">Tier II — Mid price (per pack)</t>
  </si>
  <si>
    <t xml:space="preserve">Tier III — Large price (per pack)</t>
  </si>
  <si>
    <t xml:space="preserve">Featured tier</t>
  </si>
  <si>
    <t xml:space="preserve">Tier IV — Programme (per pack)</t>
  </si>
  <si>
    <t xml:space="preserve">Tier V — Mega (per pack)</t>
  </si>
  <si>
    <t xml:space="preserve">From; by arrangement</t>
  </si>
  <si>
    <t xml:space="preserve">Tier I — Annual seat</t>
  </si>
  <si>
    <t xml:space="preserve">Tier II — Annual seat</t>
  </si>
  <si>
    <t xml:space="preserve">Tier III — Annual seat</t>
  </si>
  <si>
    <t xml:space="preserve">Tier IV — Annual seat</t>
  </si>
  <si>
    <t xml:space="preserve">Tier V — Annual seat</t>
  </si>
  <si>
    <t xml:space="preserve">From</t>
  </si>
  <si>
    <t xml:space="preserve">Early-pilot discount (first 10)</t>
  </si>
  <si>
    <t xml:space="preserve">%</t>
  </si>
  <si>
    <t xml:space="preserve">YELLOW — review at month 4</t>
  </si>
  <si>
    <t xml:space="preserve">Free taster compute cost (per scan)</t>
  </si>
  <si>
    <t xml:space="preserve">Skim only (Haiku)</t>
  </si>
  <si>
    <t xml:space="preserve">Paid scan compute cost — Tier III</t>
  </si>
  <si>
    <t xml:space="preserve">Sonnet + verify + coordination</t>
  </si>
  <si>
    <t xml:space="preserve">Anthropic + OpenAI markup applied</t>
  </si>
  <si>
    <t xml:space="preserve">Cost buffer</t>
  </si>
  <si>
    <t xml:space="preserve">Per-pack specialist honorarium (Option C)</t>
  </si>
  <si>
    <t xml:space="preserve">When Option C invoked; not every pack</t>
  </si>
  <si>
    <t xml:space="preserve">Reviewer chair retention (one-off, when triggered)</t>
  </si>
  <si>
    <t xml:space="preserve">Triggered by 4 packs/wk × 4 weeks or dispute</t>
  </si>
  <si>
    <t xml:space="preserve">Solicitor — Phase 2 legal pack</t>
  </si>
  <si>
    <t xml:space="preserve">TOS + Privacy + DPA + rider review</t>
  </si>
  <si>
    <t xml:space="preserve">Tech E&amp;O rider — annual</t>
  </si>
  <si>
    <t xml:space="preserve">Monthly-paid; rider on GovIQ policy</t>
  </si>
  <si>
    <t xml:space="preserve">Trademark IE filing (triggered at €5k revenue)</t>
  </si>
  <si>
    <t xml:space="preserve">Domain + email + ancillary infra (yr 1)</t>
  </si>
  <si>
    <t xml:space="preserve">Free-tier compute weekly cap</t>
  </si>
  <si>
    <t xml:space="preserve">Hard cap from Doc 11</t>
  </si>
  <si>
    <t xml:space="preserve">Free → demo conversion</t>
  </si>
  <si>
    <t xml:space="preserve">Doc 19</t>
  </si>
  <si>
    <t xml:space="preserve">Demo → paid pilot conversion</t>
  </si>
  <si>
    <t xml:space="preserve">VAT rate (Ireland)</t>
  </si>
  <si>
    <t xml:space="preserve">B2B reverse-charge for non-IE EU; not in revenue figures</t>
  </si>
  <si>
    <t xml:space="preserve">Monthly Cashflow — Year 1 (2026-06 → 2027-05)</t>
  </si>
  <si>
    <t xml:space="preserve">VerifIQ-incremental only. All figures €.</t>
  </si>
  <si>
    <t xml:space="preserve">Line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</si>
  <si>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</si>
  <si>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</si>
  <si>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</si>
  <si>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</si>
  <si>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</si>
  <si>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</si>
  <si>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</si>
  <si>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</si>
  <si>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</si>
  <si>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</si>
  <si>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</si>
  <si>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</si>
  <si>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Year 1</t>
  </si>
  <si>
    <t xml:space="preserve">Month label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</si>
  <si>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</si>
  <si>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</si>
  <si>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</si>
  <si>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</si>
  <si>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</si>
  <si>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</si>
  <si>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</si>
  <si>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</si>
  <si>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</si>
  <si>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</si>
  <si>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</si>
  <si>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</si>
  <si>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REVENUE — paid scans</t>
  </si>
  <si>
    <t xml:space="preserve">New paying customers (input)</t>
  </si>
  <si>
    <t xml:space="preserve">Cumulative paying customers</t>
  </si>
  <si>
    <t xml:space="preserve">Tier mix on new customers (input)</t>
  </si>
  <si>
    <t xml:space="preserve">  Tier I share</t>
  </si>
  <si>
    <t xml:space="preserve">  Tier II share</t>
  </si>
  <si>
    <t xml:space="preserve">  Tier III share</t>
  </si>
  <si>
    <t xml:space="preserve">Avg packs per customer per month</t>
  </si>
  <si>
    <t xml:space="preserve">Pack revenue (gross of early-pilot disc.)</t>
  </si>
  <si>
    <t xml:space="preserve">Less: early-pilot 30% (first 10 customers)</t>
  </si>
  <si>
    <t xml:space="preserve">NET REVENUE</t>
  </si>
  <si>
    <t xml:space="preserve">DIRECT COSTS</t>
  </si>
  <si>
    <t xml:space="preserve">Paid scan compute cost</t>
  </si>
  <si>
    <t xml:space="preserve">Free taster compute (estimated 15-50/mo)</t>
  </si>
  <si>
    <t xml:space="preserve">TOTAL DIRECT COSTS</t>
  </si>
  <si>
    <t xml:space="preserve">GROSS MARGIN</t>
  </si>
  <si>
    <t xml:space="preserve">OPERATING EXPENSES — VerifIQ-incremental</t>
  </si>
  <si>
    <t xml:space="preserve">Domain + infra setup (one-off)</t>
  </si>
  <si>
    <t xml:space="preserve">Tech E&amp;O rider (monthly)</t>
  </si>
  <si>
    <t xml:space="preserve">Panel chair retention (triggered m6)</t>
  </si>
  <si>
    <t xml:space="preserve">Case study artefact (m3)</t>
  </si>
  <si>
    <t xml:space="preserve">Trademark IE filing (m6)</t>
  </si>
  <si>
    <t xml:space="preserve">Conferences — RIAI / EI (m4, m10)</t>
  </si>
  <si>
    <t xml:space="preserve">Marketing (LinkedIn / content)</t>
  </si>
  <si>
    <t xml:space="preserve">TOTAL OPEX</t>
  </si>
  <si>
    <t xml:space="preserve">NET CASH CONTRIBUTION (Pre-Founder)</t>
  </si>
  <si>
    <t xml:space="preserve">Cumulative net cash (VerifIQ-incremental)</t>
  </si>
  <si>
    <t xml:space="preserve">• Founder salary excluded — taken from GovIQ parent operations as cost-shared.</t>
  </si>
  <si>
    <t xml:space="preserve">• Annual seat revenue not yet modelled — defer to Year 2-3 sheet (typically signs from month 6 onwards).</t>
  </si>
  <si>
    <t xml:space="preserve">• VAT excluded throughout — net of VAT figures shown.</t>
  </si>
  <si>
    <t xml:space="preserve">• Conservative customer ramp: 15 paying customers in year 1 (vs Doc 14 credible-case of 8-15).</t>
  </si>
  <si>
    <t xml:space="preserve">• Solo-reviewer phase ends when 4 packs/wk × 4 weeks sustained — modelled at m6 with panel chair trigger.</t>
  </si>
  <si>
    <t xml:space="preserve">• Free taster compute cap of €1,500/wk is not breached at modelled volumes (50/mo max = €175).</t>
  </si>
  <si>
    <t xml:space="preserve">Tier Economics — Per-pack contribution</t>
  </si>
  <si>
    <t xml:space="preserve">Unit margin per tier at list price and at early-pilot 30% off.</t>
  </si>
  <si>
    <t xml:space="preserve">Tier I</t>
  </si>
  <si>
    <t xml:space="preserve">Tier II</t>
  </si>
  <si>
    <t xml:space="preserve">Tier III</t>
  </si>
  <si>
    <t xml:space="preserve">Tier IV</t>
  </si>
  <si>
    <t xml:space="preserve">Tier V</t>
  </si>
  <si>
    <t xml:space="preserve">List price (per pack)</t>
  </si>
  <si>
    <t xml:space="preserve">Early-pilot (30% off)</t>
  </si>
  <si>
    <t xml:space="preserve">Compute cost</t>
  </si>
  <si>
    <t xml:space="preserve">Specialist honorarium</t>
  </si>
  <si>
    <t xml:space="preserve">Reviewer time (hrs)</t>
  </si>
  <si>
    <t xml:space="preserve">Unit contribution (list)</t>
  </si>
  <si>
    <t xml:space="preserve">Unit contribution (early-pilot)</t>
  </si>
  <si>
    <t xml:space="preserve">Gross margin % (list)</t>
  </si>
  <si>
    <t xml:space="preserve">ANNUAL SEAT</t>
  </si>
  <si>
    <t xml:space="preserve">Annual seat price</t>
  </si>
  <si>
    <t xml:space="preserve">Break-even packs/yr</t>
  </si>
  <si>
    <t xml:space="preserve">At 8 packs/yr — seat saves</t>
  </si>
  <si>
    <t xml:space="preserve">At 12 packs/yr — seat saves</t>
  </si>
  <si>
    <t xml:space="preserve">Annual Summary — Years 1 to 3</t>
  </si>
  <si>
    <t xml:space="preserve">Year 1 from monthly cashflow. Years 2-3 ramped on conservative assumptions.</t>
  </si>
  <si>
    <t xml:space="preserve">Year 1 (2026-27)</t>
  </si>
  <si>
    <t xml:space="preserve">Year 2 (2027-28)</t>
  </si>
  <si>
    <t xml:space="preserve">Year 3 (2028-29)</t>
  </si>
  <si>
    <t xml:space="preserve">Paying customers (end of year)</t>
  </si>
  <si>
    <t xml:space="preserve">Annual seats sold (end of year)</t>
  </si>
  <si>
    <t xml:space="preserve">REVENUE</t>
  </si>
  <si>
    <t xml:space="preserve">Per-pack revenue</t>
  </si>
  <si>
    <t xml:space="preserve">Annual seat revenue</t>
  </si>
  <si>
    <t xml:space="preserve">TOTAL REVENUE</t>
  </si>
  <si>
    <t xml:space="preserve">COSTS</t>
  </si>
  <si>
    <t xml:space="preserve">Direct (compute + honoraria)</t>
  </si>
  <si>
    <t xml:space="preserve">Opex (legal + insurance + mkt + infra)</t>
  </si>
  <si>
    <t xml:space="preserve">Engineering contractor (post-seed)</t>
  </si>
  <si>
    <t xml:space="preserve">TOTAL COSTS</t>
  </si>
  <si>
    <t xml:space="preserve">NET CONTRIBUTION</t>
  </si>
  <si>
    <t xml:space="preserve">Cumulative</t>
  </si>
  <si>
    <t xml:space="preserve">Fundraise Ladder</t>
  </si>
  <si>
    <t xml:space="preserve">Pre-seed → Seed → Series A · gates and triggers.</t>
  </si>
  <si>
    <t xml:space="preserve">Round</t>
  </si>
  <si>
    <t xml:space="preserve">Timing</t>
  </si>
  <si>
    <t xml:space="preserve">Size (€)</t>
  </si>
  <si>
    <t xml:space="preserve">Pre-money (€)</t>
  </si>
  <si>
    <t xml:space="preserve">Dilution</t>
  </si>
  <si>
    <t xml:space="preserve">Gating conditions</t>
  </si>
  <si>
    <t xml:space="preserve">Pre-seed (SAFE + EI HPSU)</t>
  </si>
  <si>
    <t xml:space="preserve">Month 0-3</t>
  </si>
  <si>
    <t xml:space="preserve">14.3%</t>
  </si>
  <si>
    <t xml:space="preserve">SAFE + EI HPSU grant + 1-2 angels. Bridge to seed.</t>
  </si>
  <si>
    <t xml:space="preserve">Seed</t>
  </si>
  <si>
    <t xml:space="preserve">Month 9</t>
  </si>
  <si>
    <t xml:space="preserve">20.0%</t>
  </si>
  <si>
    <t xml:space="preserve">Gates: 3 paying customers, panel chair signed, POC live, UK reviewer pipeline named.</t>
  </si>
  <si>
    <t xml:space="preserve">Series A</t>
  </si>
  <si>
    <t xml:space="preserve">Month 24</t>
  </si>
  <si>
    <t xml:space="preserve">18.6%</t>
  </si>
  <si>
    <t xml:space="preserve">Gates: €1m+ ARR, UK launched, 40+ customers, multi-region platform.</t>
  </si>
  <si>
    <t xml:space="preserve">Cumulative raised</t>
  </si>
  <si>
    <t xml:space="preserve">~46% (founder retains ~54%)</t>
  </si>
  <si>
    <t xml:space="preserve">USE OF PROCEEDS</t>
  </si>
  <si>
    <t xml:space="preserve">Category</t>
  </si>
  <si>
    <t xml:space="preserve">Pre-seed (€)</t>
  </si>
  <si>
    <t xml:space="preserve">Seed (€)</t>
  </si>
  <si>
    <t xml:space="preserve">Series A (€)</t>
  </si>
  <si>
    <t xml:space="preserve">Cumulative (€)</t>
  </si>
  <si>
    <t xml:space="preserve">Founder salary (post-bootstrap)</t>
  </si>
  <si>
    <t xml:space="preserve">First engineer hire</t>
  </si>
  <si>
    <t xml:space="preserve">Sales / partnerships hire</t>
  </si>
  <si>
    <t xml:space="preserve">Reviewer panel (full)</t>
  </si>
  <si>
    <t xml:space="preserve">Platform infrastructure</t>
  </si>
  <si>
    <t xml:space="preserve">Marketing + content</t>
  </si>
  <si>
    <t xml:space="preserve">Legal + insurance</t>
  </si>
  <si>
    <t xml:space="preserve">UK market entry</t>
  </si>
  <si>
    <t xml:space="preserve">AU / CA / EU market entry</t>
  </si>
  <si>
    <t xml:space="preserve">Standards licensing</t>
  </si>
  <si>
    <t xml:space="preserve">Working capital + contingency</t>
  </si>
  <si>
    <t xml:space="preserve">TOTAL</t>
  </si>
  <si>
    <t xml:space="preserve">Scenarios — Year 1 outcomes</t>
  </si>
  <si>
    <t xml:space="preserve">Conservative · Credible · Optimistic. Drives different fundraise narratives.</t>
  </si>
  <si>
    <t xml:space="preserve">Conservative</t>
  </si>
  <si>
    <t xml:space="preserve">Credible (base)</t>
  </si>
  <si>
    <t xml:space="preserve">Optimistic</t>
  </si>
  <si>
    <t xml:space="preserve">Paying customers year-end</t>
  </si>
  <si>
    <t xml:space="preserve">Annual seats year-end</t>
  </si>
  <si>
    <t xml:space="preserve">Avg packs per customer / year</t>
  </si>
  <si>
    <t xml:space="preserve">Average tier (1-5)</t>
  </si>
  <si>
    <t xml:space="preserve">Demo → paid conversion</t>
  </si>
  <si>
    <t xml:space="preserve">REVENUE — modelled</t>
  </si>
  <si>
    <t xml:space="preserve">Annual seat revenue (Tier II avg)</t>
  </si>
  <si>
    <t xml:space="preserve">Apply early-pilot 30% (first 10)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</si>
</sst>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;&quot;(€&quot;#,##0\);\-"/>
    <numFmt numFmtId="166" formatCode="0.0%;\(0.0%\);\-"/>
    <numFmt numFmtId="167" formatCode="#,##0;\(#,##0\);\-"/>
    <numFmt numFmtId="168" formatCode="0.0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F"/>
      <name val="Arial"/>
      <family val="0"/>
      <charset val="1"/>
    </font>
    <font>
      <i val="true"/>
      <sz val="11"/>
      <color rgb="FF6B6B7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6B6B7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B6B7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E2D5"/>
        <bgColor rgb="FFEEEEEE"/>
      </patternFill>
    </fill>
    <fill>
      <patternFill patternType="solid">
        <fgColor rgb="FFFFFFC0"/>
        <bgColor rgb="FFFFFF99"/>
      </patternFill>
    </fill>
    <fill>
      <patternFill patternType="solid">
        <fgColor rgb="FF1A1A1F"/>
        <bgColor rgb="FF333300"/>
      </patternFill>
    </fill>
    <fill>
      <patternFill patternType="solid">
        <fgColor rgb="FFB8945A"/>
        <bgColor rgb="FF808080"/>
      </patternFill>
    </fill>
    <fill>
      <patternFill patternType="solid">
        <fgColor rgb="FFEEEEEE"/>
        <bgColor rgb="FFE8E2D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EEEEEE"/>
      <rgbColor rgb="FF660066"/>
      <rgbColor rgb="FFFF8080"/>
      <rgbColor rgb="FF0066CC"/>
      <rgbColor rgb="FFE8E2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2"/>
      <rgbColor rgb="FFB8945A"/>
      <rgbColor rgb="FF003366"/>
      <rgbColor rgb="FF339966"/>
      <rgbColor rgb="FF003300"/>
      <rgbColor rgb="FF333300"/>
      <rgbColor rgb="FF993300"/>
      <rgbColor rgb="FF993366"/>
      <rgbColor rgb="FF333399"/>
      <rgbColor rgb="FF1A1A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6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/>
      <c r="D6" s="3"/>
      <c r="E6" s="3"/>
    </row>
    <row r="7" customFormat="false" ht="49.5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7" t="s">
        <v>7</v>
      </c>
    </row>
    <row r="12" customFormat="false" ht="15" hidden="false" customHeight="false" outlineLevel="0" collapsed="false">
      <c r="B12" s="8" t="s">
        <v>8</v>
      </c>
    </row>
    <row r="13" customFormat="false" ht="15" hidden="false" customHeight="false" outlineLevel="0" collapsed="false">
      <c r="B13" s="9" t="s">
        <v>9</v>
      </c>
    </row>
    <row r="15" customFormat="false" ht="15" hidden="false" customHeight="false" outlineLevel="0" collapsed="false">
      <c r="B15" s="3" t="s">
        <v>10</v>
      </c>
      <c r="C15" s="3"/>
      <c r="D15" s="3"/>
      <c r="E15" s="3"/>
    </row>
    <row r="16" customFormat="false" ht="15" hidden="false" customHeight="false" outlineLevel="0" collapsed="false">
      <c r="B16" s="10" t="s">
        <v>11</v>
      </c>
      <c r="C16" s="11" t="s">
        <v>12</v>
      </c>
      <c r="D16" s="12" t="s">
        <v>13</v>
      </c>
      <c r="E16" s="10" t="s">
        <v>14</v>
      </c>
    </row>
    <row r="17" customFormat="false" ht="15" hidden="false" customHeight="false" outlineLevel="0" collapsed="false">
      <c r="B17" s="7" t="s">
        <v>15</v>
      </c>
      <c r="C17" s="13" t="n">
        <v>290</v>
      </c>
      <c r="D17" s="14" t="s">
        <v>16</v>
      </c>
      <c r="E17" s="15" t="s">
        <v>17</v>
      </c>
    </row>
    <row r="18" customFormat="false" ht="15" hidden="false" customHeight="false" outlineLevel="0" collapsed="false">
      <c r="B18" s="7" t="s">
        <v>18</v>
      </c>
      <c r="C18" s="13" t="n">
        <v>590</v>
      </c>
      <c r="D18" s="14" t="s">
        <v>16</v>
      </c>
      <c r="E18" s="15"/>
    </row>
    <row r="19" customFormat="false" ht="15" hidden="false" customHeight="false" outlineLevel="0" collapsed="false">
      <c r="B19" s="7" t="s">
        <v>19</v>
      </c>
      <c r="C19" s="13" t="n">
        <v>890</v>
      </c>
      <c r="D19" s="14" t="s">
        <v>16</v>
      </c>
      <c r="E19" s="15" t="s">
        <v>20</v>
      </c>
    </row>
    <row r="20" customFormat="false" ht="15" hidden="false" customHeight="false" outlineLevel="0" collapsed="false">
      <c r="B20" s="7" t="s">
        <v>21</v>
      </c>
      <c r="C20" s="13" t="n">
        <v>1950</v>
      </c>
      <c r="D20" s="14" t="s">
        <v>16</v>
      </c>
      <c r="E20" s="15"/>
    </row>
    <row r="21" customFormat="false" ht="15" hidden="false" customHeight="false" outlineLevel="0" collapsed="false">
      <c r="B21" s="7" t="s">
        <v>22</v>
      </c>
      <c r="C21" s="13" t="n">
        <v>2500</v>
      </c>
      <c r="D21" s="14" t="s">
        <v>16</v>
      </c>
      <c r="E21" s="15" t="s">
        <v>23</v>
      </c>
    </row>
    <row r="22" customFormat="false" ht="15" hidden="false" customHeight="false" outlineLevel="0" collapsed="false">
      <c r="B22" s="7" t="s">
        <v>24</v>
      </c>
      <c r="C22" s="13" t="n">
        <v>2800</v>
      </c>
      <c r="D22" s="14" t="s">
        <v>16</v>
      </c>
      <c r="E22" s="15"/>
    </row>
    <row r="23" customFormat="false" ht="15" hidden="false" customHeight="false" outlineLevel="0" collapsed="false">
      <c r="B23" s="7" t="s">
        <v>25</v>
      </c>
      <c r="C23" s="13" t="n">
        <v>5800</v>
      </c>
      <c r="D23" s="14" t="s">
        <v>16</v>
      </c>
      <c r="E23" s="15"/>
    </row>
    <row r="24" customFormat="false" ht="15" hidden="false" customHeight="false" outlineLevel="0" collapsed="false">
      <c r="B24" s="7" t="s">
        <v>26</v>
      </c>
      <c r="C24" s="13" t="n">
        <v>11400</v>
      </c>
      <c r="D24" s="14" t="s">
        <v>16</v>
      </c>
      <c r="E24" s="15"/>
    </row>
    <row r="25" customFormat="false" ht="15" hidden="false" customHeight="false" outlineLevel="0" collapsed="false">
      <c r="B25" s="7" t="s">
        <v>27</v>
      </c>
      <c r="C25" s="13" t="n">
        <v>19800</v>
      </c>
      <c r="D25" s="14" t="s">
        <v>16</v>
      </c>
      <c r="E25" s="15"/>
    </row>
    <row r="26" customFormat="false" ht="15" hidden="false" customHeight="false" outlineLevel="0" collapsed="false">
      <c r="B26" s="7" t="s">
        <v>28</v>
      </c>
      <c r="C26" s="13" t="n">
        <v>36000</v>
      </c>
      <c r="D26" s="14" t="s">
        <v>16</v>
      </c>
      <c r="E26" s="15" t="s">
        <v>29</v>
      </c>
    </row>
    <row r="27" customFormat="false" ht="15" hidden="false" customHeight="false" outlineLevel="0" collapsed="false">
      <c r="B27" s="7" t="s">
        <v>30</v>
      </c>
      <c r="C27" s="16" t="n">
        <v>0.3</v>
      </c>
      <c r="D27" s="14" t="s">
        <v>31</v>
      </c>
      <c r="E27" s="15" t="s">
        <v>32</v>
      </c>
    </row>
    <row r="28" customFormat="false" ht="15" hidden="false" customHeight="false" outlineLevel="0" collapsed="false">
      <c r="B28" s="7" t="s">
        <v>33</v>
      </c>
      <c r="C28" s="13" t="n">
        <v>3.5</v>
      </c>
      <c r="D28" s="14" t="s">
        <v>16</v>
      </c>
      <c r="E28" s="15" t="s">
        <v>34</v>
      </c>
    </row>
    <row r="29" customFormat="false" ht="15" hidden="false" customHeight="false" outlineLevel="0" collapsed="false">
      <c r="B29" s="7" t="s">
        <v>35</v>
      </c>
      <c r="C29" s="13" t="n">
        <v>28</v>
      </c>
      <c r="D29" s="14" t="s">
        <v>16</v>
      </c>
      <c r="E29" s="15" t="s">
        <v>36</v>
      </c>
    </row>
    <row r="30" customFormat="false" ht="15" hidden="false" customHeight="false" outlineLevel="0" collapsed="false">
      <c r="B30" s="7" t="s">
        <v>37</v>
      </c>
      <c r="C30" s="17" t="n">
        <v>0.15</v>
      </c>
      <c r="D30" s="14" t="s">
        <v>31</v>
      </c>
      <c r="E30" s="15" t="s">
        <v>38</v>
      </c>
    </row>
    <row r="31" customFormat="false" ht="15" hidden="false" customHeight="false" outlineLevel="0" collapsed="false">
      <c r="B31" s="7" t="s">
        <v>39</v>
      </c>
      <c r="C31" s="13" t="n">
        <v>250</v>
      </c>
      <c r="D31" s="14" t="s">
        <v>16</v>
      </c>
      <c r="E31" s="15" t="s">
        <v>40</v>
      </c>
    </row>
    <row r="32" customFormat="false" ht="15" hidden="false" customHeight="false" outlineLevel="0" collapsed="false">
      <c r="B32" s="7" t="s">
        <v>41</v>
      </c>
      <c r="C32" s="13" t="n">
        <v>1500</v>
      </c>
      <c r="D32" s="14" t="s">
        <v>16</v>
      </c>
      <c r="E32" s="15" t="s">
        <v>42</v>
      </c>
    </row>
    <row r="33" customFormat="false" ht="15" hidden="false" customHeight="false" outlineLevel="0" collapsed="false">
      <c r="B33" s="7" t="s">
        <v>43</v>
      </c>
      <c r="C33" s="13" t="n">
        <v>2500</v>
      </c>
      <c r="D33" s="14" t="s">
        <v>16</v>
      </c>
      <c r="E33" s="15" t="s">
        <v>44</v>
      </c>
    </row>
    <row r="34" customFormat="false" ht="15" hidden="false" customHeight="false" outlineLevel="0" collapsed="false">
      <c r="B34" s="7" t="s">
        <v>45</v>
      </c>
      <c r="C34" s="13" t="n">
        <v>1000</v>
      </c>
      <c r="D34" s="14" t="s">
        <v>16</v>
      </c>
      <c r="E34" s="15" t="s">
        <v>46</v>
      </c>
    </row>
    <row r="35" customFormat="false" ht="15" hidden="false" customHeight="false" outlineLevel="0" collapsed="false">
      <c r="B35" s="7" t="s">
        <v>47</v>
      </c>
      <c r="C35" s="13" t="n">
        <v>500</v>
      </c>
      <c r="D35" s="14" t="s">
        <v>16</v>
      </c>
      <c r="E35" s="15"/>
    </row>
    <row r="36" customFormat="false" ht="15" hidden="false" customHeight="false" outlineLevel="0" collapsed="false">
      <c r="B36" s="7" t="s">
        <v>48</v>
      </c>
      <c r="C36" s="13" t="n">
        <v>200</v>
      </c>
      <c r="D36" s="14" t="s">
        <v>16</v>
      </c>
      <c r="E36" s="15"/>
    </row>
    <row r="37" customFormat="false" ht="15" hidden="false" customHeight="false" outlineLevel="0" collapsed="false">
      <c r="B37" s="7" t="s">
        <v>49</v>
      </c>
      <c r="C37" s="13" t="n">
        <v>1500</v>
      </c>
      <c r="D37" s="14" t="s">
        <v>16</v>
      </c>
      <c r="E37" s="15" t="s">
        <v>50</v>
      </c>
    </row>
    <row r="38" customFormat="false" ht="15" hidden="false" customHeight="false" outlineLevel="0" collapsed="false">
      <c r="B38" s="7" t="s">
        <v>51</v>
      </c>
      <c r="C38" s="17" t="n">
        <v>0.4</v>
      </c>
      <c r="D38" s="14" t="s">
        <v>31</v>
      </c>
      <c r="E38" s="15" t="s">
        <v>52</v>
      </c>
    </row>
    <row r="39" customFormat="false" ht="15" hidden="false" customHeight="false" outlineLevel="0" collapsed="false">
      <c r="B39" s="7" t="s">
        <v>53</v>
      </c>
      <c r="C39" s="17" t="n">
        <v>0.3</v>
      </c>
      <c r="D39" s="14" t="s">
        <v>31</v>
      </c>
      <c r="E39" s="15" t="s">
        <v>52</v>
      </c>
    </row>
    <row r="40" customFormat="false" ht="15" hidden="false" customHeight="false" outlineLevel="0" collapsed="false">
      <c r="B40" s="7" t="s">
        <v>54</v>
      </c>
      <c r="C40" s="17" t="n">
        <v>0.23</v>
      </c>
      <c r="D40" s="14" t="s">
        <v>31</v>
      </c>
      <c r="E40" s="15" t="s">
        <v>55</v>
      </c>
    </row>
  </sheetData>
  <mergeCells count="3">
    <mergeCell ref="B6:E6"/>
    <mergeCell ref="B7:E7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15" min="3" style="0" width="11"/>
    <col collapsed="false" customWidth="true" hidden="false" outlineLevel="0" max="16" min="16" style="0" width="14"/>
  </cols>
  <sheetData>
    <row r="2" customFormat="false" ht="19.7" hidden="false" customHeight="false" outlineLevel="0" collapsed="false">
      <c r="B2" s="1" t="s">
        <v>56</v>
      </c>
    </row>
    <row r="3" customFormat="false" ht="15" hidden="false" customHeight="false" outlineLevel="0" collapsed="false">
      <c r="B3" s="2" t="s">
        <v>57</v>
      </c>
    </row>
    <row r="6" customFormat="false" ht="15" hidden="false" customHeight="false" outlineLevel="0" collapsed="false">
      <c r="B6" s="10" t="s">
        <v>58</v>
      </c>
      <c r="C6" s="12" t="s">
        <v>59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64</v>
      </c>
      <c r="I6" s="12" t="s">
        <v>65</v>
      </c>
      <c r="J6" s="12" t="s">
        <v>66</v>
      </c>
      <c r="K6" s="12" t="s">
        <v>67</v>
      </c>
      <c r="L6" s="12" t="s">
        <v>68</v>
      </c>
      <c r="M6" s="12" t="s">
        <v>69</v>
      </c>
      <c r="N6" s="12" t="s">
        <v>70</v>
      </c>
      <c r="O6" s="18" t="s">
        <v>71</v>
      </c>
    </row>
    <row r="7" customFormat="false" ht="15" hidden="false" customHeight="false" outlineLevel="0" collapsed="false">
      <c r="B7" s="15" t="s">
        <v>72</v>
      </c>
      <c r="C7" s="19" t="s">
        <v>73</v>
      </c>
      <c r="D7" s="19" t="s">
        <v>74</v>
      </c>
      <c r="E7" s="19" t="s">
        <v>75</v>
      </c>
      <c r="F7" s="19" t="s">
        <v>76</v>
      </c>
      <c r="G7" s="19" t="s">
        <v>77</v>
      </c>
      <c r="H7" s="19" t="s">
        <v>78</v>
      </c>
      <c r="I7" s="19" t="s">
        <v>79</v>
      </c>
      <c r="J7" s="19" t="s">
        <v>80</v>
      </c>
      <c r="K7" s="19" t="s">
        <v>81</v>
      </c>
      <c r="L7" s="19" t="s">
        <v>82</v>
      </c>
      <c r="M7" s="19" t="s">
        <v>83</v>
      </c>
      <c r="N7" s="19" t="s">
        <v>84</v>
      </c>
    </row>
    <row r="9" customFormat="false" ht="15" hidden="false" customHeight="false" outlineLevel="0" collapsed="false">
      <c r="B9" s="20" t="s">
        <v>85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customFormat="false" ht="15" hidden="false" customHeight="false" outlineLevel="0" collapsed="false">
      <c r="B10" s="7" t="s">
        <v>86</v>
      </c>
      <c r="C10" s="22" t="n">
        <v>0</v>
      </c>
      <c r="D10" s="22" t="n">
        <v>0</v>
      </c>
      <c r="E10" s="22" t="n">
        <v>1</v>
      </c>
      <c r="F10" s="22" t="n">
        <v>1</v>
      </c>
      <c r="G10" s="22" t="n">
        <v>1</v>
      </c>
      <c r="H10" s="22" t="n">
        <v>1</v>
      </c>
      <c r="I10" s="22" t="n">
        <v>1</v>
      </c>
      <c r="J10" s="22" t="n">
        <v>2</v>
      </c>
      <c r="K10" s="22" t="n">
        <v>2</v>
      </c>
      <c r="L10" s="22" t="n">
        <v>2</v>
      </c>
      <c r="M10" s="22" t="n">
        <v>2</v>
      </c>
      <c r="N10" s="22" t="n">
        <v>2</v>
      </c>
      <c r="O10" s="23" t="n">
        <f aca="false">SUM(C10:N10)</f>
        <v>15</v>
      </c>
    </row>
    <row r="11" customFormat="false" ht="15" hidden="false" customHeight="false" outlineLevel="0" collapsed="false">
      <c r="B11" s="7" t="s">
        <v>87</v>
      </c>
      <c r="C11" s="23" t="n">
        <f aca="false">C10</f>
        <v>0</v>
      </c>
      <c r="D11" s="23" t="n">
        <f aca="false">C11+D10</f>
        <v>0</v>
      </c>
      <c r="E11" s="23" t="n">
        <f aca="false">D11+E10</f>
        <v>1</v>
      </c>
      <c r="F11" s="23" t="n">
        <f aca="false">E11+F10</f>
        <v>2</v>
      </c>
      <c r="G11" s="23" t="n">
        <f aca="false">F11+G10</f>
        <v>3</v>
      </c>
      <c r="H11" s="23" t="n">
        <f aca="false">G11+H10</f>
        <v>4</v>
      </c>
      <c r="I11" s="23" t="n">
        <f aca="false">H11+I10</f>
        <v>5</v>
      </c>
      <c r="J11" s="23" t="n">
        <f aca="false">I11+J10</f>
        <v>7</v>
      </c>
      <c r="K11" s="23" t="n">
        <f aca="false">J11+K10</f>
        <v>9</v>
      </c>
      <c r="L11" s="23" t="n">
        <f aca="false">K11+L10</f>
        <v>11</v>
      </c>
      <c r="M11" s="23" t="n">
        <f aca="false">L11+M10</f>
        <v>13</v>
      </c>
      <c r="N11" s="23" t="n">
        <f aca="false">M11+N10</f>
        <v>15</v>
      </c>
      <c r="O11" s="23" t="n">
        <f aca="false">N11</f>
        <v>15</v>
      </c>
    </row>
    <row r="13" customFormat="false" ht="15" hidden="false" customHeight="false" outlineLevel="0" collapsed="false">
      <c r="B13" s="5" t="s">
        <v>88</v>
      </c>
    </row>
    <row r="14" customFormat="false" ht="15" hidden="false" customHeight="false" outlineLevel="0" collapsed="false">
      <c r="B14" s="7" t="s">
        <v>89</v>
      </c>
      <c r="C14" s="17" t="n">
        <v>0.3</v>
      </c>
      <c r="D14" s="17" t="n">
        <v>0.3</v>
      </c>
      <c r="E14" s="17" t="n">
        <v>0.3</v>
      </c>
      <c r="F14" s="17" t="n">
        <v>0.3</v>
      </c>
      <c r="G14" s="17" t="n">
        <v>0.3</v>
      </c>
      <c r="H14" s="17" t="n">
        <v>0.3</v>
      </c>
      <c r="I14" s="17" t="n">
        <v>0.3</v>
      </c>
      <c r="J14" s="17" t="n">
        <v>0.3</v>
      </c>
      <c r="K14" s="17" t="n">
        <v>0.3</v>
      </c>
      <c r="L14" s="17" t="n">
        <v>0.3</v>
      </c>
      <c r="M14" s="17" t="n">
        <v>0.3</v>
      </c>
      <c r="N14" s="17" t="n">
        <v>0.3</v>
      </c>
    </row>
    <row r="15" customFormat="false" ht="15" hidden="false" customHeight="false" outlineLevel="0" collapsed="false">
      <c r="B15" s="7" t="s">
        <v>90</v>
      </c>
      <c r="C15" s="17" t="n">
        <v>0.4</v>
      </c>
      <c r="D15" s="17" t="n">
        <v>0.4</v>
      </c>
      <c r="E15" s="17" t="n">
        <v>0.4</v>
      </c>
      <c r="F15" s="17" t="n">
        <v>0.4</v>
      </c>
      <c r="G15" s="17" t="n">
        <v>0.4</v>
      </c>
      <c r="H15" s="17" t="n">
        <v>0.4</v>
      </c>
      <c r="I15" s="17" t="n">
        <v>0.4</v>
      </c>
      <c r="J15" s="17" t="n">
        <v>0.4</v>
      </c>
      <c r="K15" s="17" t="n">
        <v>0.4</v>
      </c>
      <c r="L15" s="17" t="n">
        <v>0.4</v>
      </c>
      <c r="M15" s="17" t="n">
        <v>0.4</v>
      </c>
      <c r="N15" s="17" t="n">
        <v>0.4</v>
      </c>
    </row>
    <row r="16" customFormat="false" ht="15" hidden="false" customHeight="false" outlineLevel="0" collapsed="false">
      <c r="B16" s="7" t="s">
        <v>91</v>
      </c>
      <c r="C16" s="17" t="n">
        <v>0.3</v>
      </c>
      <c r="D16" s="17" t="n">
        <v>0.3</v>
      </c>
      <c r="E16" s="17" t="n">
        <v>0.3</v>
      </c>
      <c r="F16" s="17" t="n">
        <v>0.3</v>
      </c>
      <c r="G16" s="17" t="n">
        <v>0.3</v>
      </c>
      <c r="H16" s="17" t="n">
        <v>0.3</v>
      </c>
      <c r="I16" s="17" t="n">
        <v>0.3</v>
      </c>
      <c r="J16" s="17" t="n">
        <v>0.3</v>
      </c>
      <c r="K16" s="17" t="n">
        <v>0.3</v>
      </c>
      <c r="L16" s="17" t="n">
        <v>0.3</v>
      </c>
      <c r="M16" s="17" t="n">
        <v>0.3</v>
      </c>
      <c r="N16" s="17" t="n">
        <v>0.3</v>
      </c>
    </row>
    <row r="18" customFormat="false" ht="15" hidden="false" customHeight="false" outlineLevel="0" collapsed="false">
      <c r="B18" s="7" t="s">
        <v>92</v>
      </c>
      <c r="C18" s="24" t="n">
        <v>0.4</v>
      </c>
      <c r="D18" s="24" t="n">
        <v>0.4</v>
      </c>
      <c r="E18" s="24" t="n">
        <v>0.4</v>
      </c>
      <c r="F18" s="24" t="n">
        <v>0.4</v>
      </c>
      <c r="G18" s="24" t="n">
        <v>0.4</v>
      </c>
      <c r="H18" s="24" t="n">
        <v>0.4</v>
      </c>
      <c r="I18" s="24" t="n">
        <v>0.4</v>
      </c>
      <c r="J18" s="24" t="n">
        <v>0.4</v>
      </c>
      <c r="K18" s="24" t="n">
        <v>0.4</v>
      </c>
      <c r="L18" s="24" t="n">
        <v>0.4</v>
      </c>
      <c r="M18" s="24" t="n">
        <v>0.4</v>
      </c>
      <c r="N18" s="24" t="n">
        <v>0.4</v>
      </c>
    </row>
    <row r="20" customFormat="false" ht="15" hidden="false" customHeight="false" outlineLevel="0" collapsed="false">
      <c r="B20" s="7" t="s">
        <v>93</v>
      </c>
      <c r="C20" s="25" t="n">
        <f aca="false">C11*C18*(C14*Assumptions!$C$17+C15*Assumptions!$C$18+C16*Assumptions!$C$19)</f>
        <v>0</v>
      </c>
      <c r="D20" s="25" t="n">
        <f aca="false">D11*D18*(D14*Assumptions!$C$17+D15*Assumptions!$C$18+D16*Assumptions!$C$19)</f>
        <v>0</v>
      </c>
      <c r="E20" s="25" t="n">
        <f aca="false">E11*E18*(E14*Assumptions!$C$17+E15*Assumptions!$C$18+E16*Assumptions!$C$19)</f>
        <v>236</v>
      </c>
      <c r="F20" s="25" t="n">
        <f aca="false">F11*F18*(F14*Assumptions!$C$17+F15*Assumptions!$C$18+F16*Assumptions!$C$19)</f>
        <v>472</v>
      </c>
      <c r="G20" s="25" t="n">
        <f aca="false">G11*G18*(G14*Assumptions!$C$17+G15*Assumptions!$C$18+G16*Assumptions!$C$19)</f>
        <v>708</v>
      </c>
      <c r="H20" s="25" t="n">
        <f aca="false">H11*H18*(H14*Assumptions!$C$17+H15*Assumptions!$C$18+H16*Assumptions!$C$19)</f>
        <v>944</v>
      </c>
      <c r="I20" s="25" t="n">
        <f aca="false">I11*I18*(I14*Assumptions!$C$17+I15*Assumptions!$C$18+I16*Assumptions!$C$19)</f>
        <v>1180</v>
      </c>
      <c r="J20" s="25" t="n">
        <f aca="false">J11*J18*(J14*Assumptions!$C$17+J15*Assumptions!$C$18+J16*Assumptions!$C$19)</f>
        <v>1652</v>
      </c>
      <c r="K20" s="25" t="n">
        <f aca="false">K11*K18*(K14*Assumptions!$C$17+K15*Assumptions!$C$18+K16*Assumptions!$C$19)</f>
        <v>2124</v>
      </c>
      <c r="L20" s="25" t="n">
        <f aca="false">L11*L18*(L14*Assumptions!$C$17+L15*Assumptions!$C$18+L16*Assumptions!$C$19)</f>
        <v>2596</v>
      </c>
      <c r="M20" s="25" t="n">
        <f aca="false">M11*M18*(M14*Assumptions!$C$17+M15*Assumptions!$C$18+M16*Assumptions!$C$19)</f>
        <v>3068</v>
      </c>
      <c r="N20" s="25" t="n">
        <f aca="false">N11*N18*(N14*Assumptions!$C$17+N15*Assumptions!$C$18+N16*Assumptions!$C$19)</f>
        <v>3540</v>
      </c>
      <c r="O20" s="26" t="n">
        <f aca="false">SUM(C20:N20)</f>
        <v>16520</v>
      </c>
    </row>
    <row r="21" customFormat="false" ht="15" hidden="false" customHeight="false" outlineLevel="0" collapsed="false">
      <c r="B21" s="7" t="s">
        <v>94</v>
      </c>
      <c r="C21" s="25" t="n">
        <f aca="false">-IF(C11&lt;=10,C20*Assumptions!$C$25,C20*Assumptions!$C$25*10/C11)</f>
        <v>-0</v>
      </c>
      <c r="D21" s="25" t="n">
        <f aca="false">-IF(D11&lt;=10,D20*Assumptions!$C$25,D20*Assumptions!$C$25*10/D11)</f>
        <v>-0</v>
      </c>
      <c r="E21" s="25" t="n">
        <f aca="false">-IF(E11&lt;=10,E20*Assumptions!$C$25,E20*Assumptions!$C$25*10/E11)</f>
        <v>-4672800</v>
      </c>
      <c r="F21" s="25" t="n">
        <f aca="false">-IF(F11&lt;=10,F20*Assumptions!$C$25,F20*Assumptions!$C$25*10/F11)</f>
        <v>-9345600</v>
      </c>
      <c r="G21" s="25" t="n">
        <f aca="false">-IF(G11&lt;=10,G20*Assumptions!$C$25,G20*Assumptions!$C$25*10/G11)</f>
        <v>-14018400</v>
      </c>
      <c r="H21" s="25" t="n">
        <f aca="false">-IF(H11&lt;=10,H20*Assumptions!$C$25,H20*Assumptions!$C$25*10/H11)</f>
        <v>-18691200</v>
      </c>
      <c r="I21" s="25" t="n">
        <f aca="false">-IF(I11&lt;=10,I20*Assumptions!$C$25,I20*Assumptions!$C$25*10/I11)</f>
        <v>-23364000</v>
      </c>
      <c r="J21" s="25" t="n">
        <f aca="false">-IF(J11&lt;=10,J20*Assumptions!$C$25,J20*Assumptions!$C$25*10/J11)</f>
        <v>-32709600</v>
      </c>
      <c r="K21" s="25" t="n">
        <f aca="false">-IF(K11&lt;=10,K20*Assumptions!$C$25,K20*Assumptions!$C$25*10/K11)</f>
        <v>-42055200</v>
      </c>
      <c r="L21" s="25" t="n">
        <f aca="false">-IF(L11&lt;=10,L20*Assumptions!$C$25,L20*Assumptions!$C$25*10/L11)</f>
        <v>-46728000</v>
      </c>
      <c r="M21" s="25" t="n">
        <f aca="false">-IF(M11&lt;=10,M20*Assumptions!$C$25,M20*Assumptions!$C$25*10/M11)</f>
        <v>-46728000</v>
      </c>
      <c r="N21" s="25" t="n">
        <f aca="false">-IF(N11&lt;=10,N20*Assumptions!$C$25,N20*Assumptions!$C$25*10/N11)</f>
        <v>-46728000</v>
      </c>
      <c r="O21" s="25" t="n">
        <f aca="false">SUM(C21:N21)</f>
        <v>-285040800</v>
      </c>
    </row>
    <row r="22" customFormat="false" ht="15" hidden="false" customHeight="false" outlineLevel="0" collapsed="false">
      <c r="B22" s="5" t="s">
        <v>95</v>
      </c>
      <c r="C22" s="27" t="n">
        <f aca="false">C20+C21</f>
        <v>0</v>
      </c>
      <c r="D22" s="27" t="n">
        <f aca="false">D20+D21</f>
        <v>0</v>
      </c>
      <c r="E22" s="27" t="n">
        <f aca="false">E20+E21</f>
        <v>-4672564</v>
      </c>
      <c r="F22" s="27" t="n">
        <f aca="false">F20+F21</f>
        <v>-9345128</v>
      </c>
      <c r="G22" s="27" t="n">
        <f aca="false">G20+G21</f>
        <v>-14017692</v>
      </c>
      <c r="H22" s="27" t="n">
        <f aca="false">H20+H21</f>
        <v>-18690256</v>
      </c>
      <c r="I22" s="27" t="n">
        <f aca="false">I20+I21</f>
        <v>-23362820</v>
      </c>
      <c r="J22" s="27" t="n">
        <f aca="false">J20+J21</f>
        <v>-32707948</v>
      </c>
      <c r="K22" s="27" t="n">
        <f aca="false">K20+K21</f>
        <v>-42053076</v>
      </c>
      <c r="L22" s="27" t="n">
        <f aca="false">L20+L21</f>
        <v>-46725404</v>
      </c>
      <c r="M22" s="27" t="n">
        <f aca="false">M20+M21</f>
        <v>-46724932</v>
      </c>
      <c r="N22" s="27" t="n">
        <f aca="false">N20+N21</f>
        <v>-46724460</v>
      </c>
      <c r="O22" s="27" t="n">
        <f aca="false">SUM(C22:N22)</f>
        <v>-285024280</v>
      </c>
    </row>
    <row r="24" customFormat="false" ht="15" hidden="false" customHeight="false" outlineLevel="0" collapsed="false">
      <c r="B24" s="20" t="s">
        <v>96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customFormat="false" ht="15" hidden="false" customHeight="false" outlineLevel="0" collapsed="false">
      <c r="B25" s="7" t="s">
        <v>97</v>
      </c>
      <c r="C25" s="25" t="n">
        <f aca="false">-C11*C18*Assumptions!$C$28*(1+Assumptions!$C$29)</f>
        <v>-0</v>
      </c>
      <c r="D25" s="25" t="n">
        <f aca="false">-D11*D18*Assumptions!$C$28*(1+Assumptions!$C$29)</f>
        <v>-0</v>
      </c>
      <c r="E25" s="25" t="n">
        <f aca="false">-E11*E18*Assumptions!$C$28*(1+Assumptions!$C$29)</f>
        <v>-40.6</v>
      </c>
      <c r="F25" s="25" t="n">
        <f aca="false">-F11*F18*Assumptions!$C$28*(1+Assumptions!$C$29)</f>
        <v>-81.2</v>
      </c>
      <c r="G25" s="25" t="n">
        <f aca="false">-G11*G18*Assumptions!$C$28*(1+Assumptions!$C$29)</f>
        <v>-121.8</v>
      </c>
      <c r="H25" s="25" t="n">
        <f aca="false">-H11*H18*Assumptions!$C$28*(1+Assumptions!$C$29)</f>
        <v>-162.4</v>
      </c>
      <c r="I25" s="25" t="n">
        <f aca="false">-I11*I18*Assumptions!$C$28*(1+Assumptions!$C$29)</f>
        <v>-203</v>
      </c>
      <c r="J25" s="25" t="n">
        <f aca="false">-J11*J18*Assumptions!$C$28*(1+Assumptions!$C$29)</f>
        <v>-284.2</v>
      </c>
      <c r="K25" s="25" t="n">
        <f aca="false">-K11*K18*Assumptions!$C$28*(1+Assumptions!$C$29)</f>
        <v>-365.4</v>
      </c>
      <c r="L25" s="25" t="n">
        <f aca="false">-L11*L18*Assumptions!$C$28*(1+Assumptions!$C$29)</f>
        <v>-446.6</v>
      </c>
      <c r="M25" s="25" t="n">
        <f aca="false">-M11*M18*Assumptions!$C$28*(1+Assumptions!$C$29)</f>
        <v>-527.8</v>
      </c>
      <c r="N25" s="25" t="n">
        <f aca="false">-N11*N18*Assumptions!$C$28*(1+Assumptions!$C$29)</f>
        <v>-609</v>
      </c>
      <c r="O25" s="28" t="n">
        <f aca="false">SUM(C25:N25)</f>
        <v>-2842</v>
      </c>
    </row>
    <row r="26" customFormat="false" ht="15" hidden="false" customHeight="false" outlineLevel="0" collapsed="false">
      <c r="B26" s="7" t="s">
        <v>98</v>
      </c>
      <c r="C26" s="25" t="n">
        <f aca="false">-5*Assumptions!$C$27</f>
        <v>-1.5</v>
      </c>
      <c r="D26" s="25" t="n">
        <f aca="false">-10*Assumptions!$C$27</f>
        <v>-3</v>
      </c>
      <c r="E26" s="25" t="n">
        <f aca="false">-15*Assumptions!$C$27</f>
        <v>-4.5</v>
      </c>
      <c r="F26" s="25" t="n">
        <f aca="false">-20*Assumptions!$C$27</f>
        <v>-6</v>
      </c>
      <c r="G26" s="25" t="n">
        <f aca="false">-25*Assumptions!$C$27</f>
        <v>-7.5</v>
      </c>
      <c r="H26" s="25" t="n">
        <f aca="false">-30*Assumptions!$C$27</f>
        <v>-9</v>
      </c>
      <c r="I26" s="25" t="n">
        <f aca="false">-30*Assumptions!$C$27</f>
        <v>-9</v>
      </c>
      <c r="J26" s="25" t="n">
        <f aca="false">-35*Assumptions!$C$27</f>
        <v>-10.5</v>
      </c>
      <c r="K26" s="25" t="n">
        <f aca="false">-40*Assumptions!$C$27</f>
        <v>-12</v>
      </c>
      <c r="L26" s="25" t="n">
        <f aca="false">-40*Assumptions!$C$27</f>
        <v>-12</v>
      </c>
      <c r="M26" s="25" t="n">
        <f aca="false">-45*Assumptions!$C$27</f>
        <v>-13.5</v>
      </c>
      <c r="N26" s="25" t="n">
        <f aca="false">-50*Assumptions!$C$27</f>
        <v>-15</v>
      </c>
      <c r="O26" s="28" t="n">
        <f aca="false">SUM(C26:N26)</f>
        <v>-103.5</v>
      </c>
    </row>
    <row r="27" customFormat="false" ht="15" hidden="false" customHeight="false" outlineLevel="0" collapsed="false">
      <c r="B27" s="7" t="s">
        <v>39</v>
      </c>
      <c r="C27" s="25" t="n">
        <f aca="false">-0*Assumptions!$C$30</f>
        <v>-0</v>
      </c>
      <c r="D27" s="25" t="n">
        <f aca="false">-0*Assumptions!$C$30</f>
        <v>-0</v>
      </c>
      <c r="E27" s="25" t="n">
        <f aca="false">-0*Assumptions!$C$30</f>
        <v>-0</v>
      </c>
      <c r="F27" s="25" t="n">
        <f aca="false">-0*Assumptions!$C$30</f>
        <v>-0</v>
      </c>
      <c r="G27" s="25" t="n">
        <f aca="false">-0*Assumptions!$C$30</f>
        <v>-0</v>
      </c>
      <c r="H27" s="25" t="n">
        <f aca="false">-1*Assumptions!$C$30</f>
        <v>-0.15</v>
      </c>
      <c r="I27" s="25" t="n">
        <f aca="false">-1*Assumptions!$C$30</f>
        <v>-0.15</v>
      </c>
      <c r="J27" s="25" t="n">
        <f aca="false">-2*Assumptions!$C$30</f>
        <v>-0.3</v>
      </c>
      <c r="K27" s="25" t="n">
        <f aca="false">-2*Assumptions!$C$30</f>
        <v>-0.3</v>
      </c>
      <c r="L27" s="25" t="n">
        <f aca="false">-2*Assumptions!$C$30</f>
        <v>-0.3</v>
      </c>
      <c r="M27" s="25" t="n">
        <f aca="false">-3*Assumptions!$C$30</f>
        <v>-0.45</v>
      </c>
      <c r="N27" s="25" t="n">
        <f aca="false">-3*Assumptions!$C$30</f>
        <v>-0.45</v>
      </c>
      <c r="O27" s="28" t="n">
        <f aca="false">SUM(C27:N27)</f>
        <v>-2.1</v>
      </c>
    </row>
    <row r="28" customFormat="false" ht="15" hidden="false" customHeight="false" outlineLevel="0" collapsed="false">
      <c r="B28" s="5" t="s">
        <v>99</v>
      </c>
      <c r="C28" s="27" t="n">
        <f aca="false">SUM(C25:C27)</f>
        <v>-1.5</v>
      </c>
      <c r="D28" s="27" t="n">
        <f aca="false">SUM(D25:D27)</f>
        <v>-3</v>
      </c>
      <c r="E28" s="27" t="n">
        <f aca="false">SUM(E25:E27)</f>
        <v>-45.1</v>
      </c>
      <c r="F28" s="27" t="n">
        <f aca="false">SUM(F25:F27)</f>
        <v>-87.2</v>
      </c>
      <c r="G28" s="27" t="n">
        <f aca="false">SUM(G25:G27)</f>
        <v>-129.3</v>
      </c>
      <c r="H28" s="27" t="n">
        <f aca="false">SUM(H25:H27)</f>
        <v>-171.55</v>
      </c>
      <c r="I28" s="27" t="n">
        <f aca="false">SUM(I25:I27)</f>
        <v>-212.15</v>
      </c>
      <c r="J28" s="27" t="n">
        <f aca="false">SUM(J25:J27)</f>
        <v>-295</v>
      </c>
      <c r="K28" s="27" t="n">
        <f aca="false">SUM(K25:K27)</f>
        <v>-377.7</v>
      </c>
      <c r="L28" s="27" t="n">
        <f aca="false">SUM(L25:L27)</f>
        <v>-458.9</v>
      </c>
      <c r="M28" s="27" t="n">
        <f aca="false">SUM(M25:M27)</f>
        <v>-541.75</v>
      </c>
      <c r="N28" s="27" t="n">
        <f aca="false">SUM(N25:N27)</f>
        <v>-624.45</v>
      </c>
      <c r="O28" s="29" t="n">
        <f aca="false">SUM(C28:N28)</f>
        <v>-2947.6</v>
      </c>
    </row>
    <row r="29" customFormat="false" ht="15" hidden="false" customHeight="false" outlineLevel="0" collapsed="false">
      <c r="B29" s="5" t="s">
        <v>100</v>
      </c>
      <c r="C29" s="30" t="n">
        <f aca="false">C22+C28</f>
        <v>-1.5</v>
      </c>
      <c r="D29" s="30" t="n">
        <f aca="false">D22+D28</f>
        <v>-3</v>
      </c>
      <c r="E29" s="30" t="n">
        <f aca="false">E22+E28</f>
        <v>-4672609.1</v>
      </c>
      <c r="F29" s="30" t="n">
        <f aca="false">F22+F28</f>
        <v>-9345215.2</v>
      </c>
      <c r="G29" s="30" t="n">
        <f aca="false">G22+G28</f>
        <v>-14017821.3</v>
      </c>
      <c r="H29" s="30" t="n">
        <f aca="false">H22+H28</f>
        <v>-18690427.55</v>
      </c>
      <c r="I29" s="30" t="n">
        <f aca="false">I22+I28</f>
        <v>-23363032.15</v>
      </c>
      <c r="J29" s="30" t="n">
        <f aca="false">J22+J28</f>
        <v>-32708243</v>
      </c>
      <c r="K29" s="30" t="n">
        <f aca="false">K22+K28</f>
        <v>-42053453.7</v>
      </c>
      <c r="L29" s="30" t="n">
        <f aca="false">L22+L28</f>
        <v>-46725862.9</v>
      </c>
      <c r="M29" s="30" t="n">
        <f aca="false">M22+M28</f>
        <v>-46725473.75</v>
      </c>
      <c r="N29" s="30" t="n">
        <f aca="false">N22+N28</f>
        <v>-46725084.45</v>
      </c>
      <c r="O29" s="31" t="n">
        <f aca="false">SUM(C29:N29)</f>
        <v>-285027227.6</v>
      </c>
    </row>
    <row r="31" customFormat="false" ht="15" hidden="false" customHeight="false" outlineLevel="0" collapsed="false">
      <c r="B31" s="20" t="s">
        <v>101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customFormat="false" ht="15" hidden="false" customHeight="false" outlineLevel="0" collapsed="false">
      <c r="B32" s="7" t="s">
        <v>102</v>
      </c>
      <c r="C32" s="25" t="n">
        <v>-200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8" t="n">
        <f aca="false">SUM(C32:N32)</f>
        <v>-200</v>
      </c>
    </row>
    <row r="33" customFormat="false" ht="15" hidden="false" customHeight="false" outlineLevel="0" collapsed="false">
      <c r="B33" s="7" t="s">
        <v>43</v>
      </c>
      <c r="C33" s="25" t="n">
        <v>0</v>
      </c>
      <c r="D33" s="25" t="n">
        <v>-2500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8" t="n">
        <f aca="false">SUM(C33:N33)</f>
        <v>-2500</v>
      </c>
    </row>
    <row r="34" customFormat="false" ht="15" hidden="false" customHeight="false" outlineLevel="0" collapsed="false">
      <c r="B34" s="7" t="s">
        <v>103</v>
      </c>
      <c r="C34" s="25" t="n">
        <v>0</v>
      </c>
      <c r="D34" s="25" t="n">
        <v>-83.3333333333333</v>
      </c>
      <c r="E34" s="25" t="n">
        <v>-83.3333333333333</v>
      </c>
      <c r="F34" s="25" t="n">
        <v>-83.3333333333333</v>
      </c>
      <c r="G34" s="25" t="n">
        <v>-83.3333333333333</v>
      </c>
      <c r="H34" s="25" t="n">
        <v>-83.3333333333333</v>
      </c>
      <c r="I34" s="25" t="n">
        <v>-83.3333333333333</v>
      </c>
      <c r="J34" s="25" t="n">
        <v>-83.3333333333333</v>
      </c>
      <c r="K34" s="25" t="n">
        <v>-83.3333333333333</v>
      </c>
      <c r="L34" s="25" t="n">
        <v>-83.3333333333333</v>
      </c>
      <c r="M34" s="25" t="n">
        <v>-83.3333333333333</v>
      </c>
      <c r="N34" s="25" t="n">
        <v>-83.3333333333333</v>
      </c>
      <c r="O34" s="28" t="n">
        <f aca="false">SUM(C34:N34)</f>
        <v>-916.666666666667</v>
      </c>
    </row>
    <row r="35" customFormat="false" ht="15" hidden="false" customHeight="false" outlineLevel="0" collapsed="false">
      <c r="B35" s="7" t="s">
        <v>104</v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-1500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8" t="n">
        <f aca="false">SUM(C35:N35)</f>
        <v>-1500</v>
      </c>
    </row>
    <row r="36" customFormat="false" ht="15" hidden="false" customHeight="false" outlineLevel="0" collapsed="false">
      <c r="B36" s="7" t="s">
        <v>105</v>
      </c>
      <c r="C36" s="25" t="n">
        <v>0</v>
      </c>
      <c r="D36" s="25" t="n">
        <v>0</v>
      </c>
      <c r="E36" s="25" t="n">
        <v>-3000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  <c r="N36" s="25" t="n">
        <v>0</v>
      </c>
      <c r="O36" s="28" t="n">
        <f aca="false">SUM(C36:N36)</f>
        <v>-3000</v>
      </c>
    </row>
    <row r="37" customFormat="false" ht="15" hidden="false" customHeight="false" outlineLevel="0" collapsed="false">
      <c r="B37" s="7" t="s">
        <v>106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-500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8" t="n">
        <f aca="false">SUM(C37:N37)</f>
        <v>-500</v>
      </c>
    </row>
    <row r="38" customFormat="false" ht="15" hidden="false" customHeight="false" outlineLevel="0" collapsed="false">
      <c r="B38" s="7" t="s">
        <v>107</v>
      </c>
      <c r="C38" s="25" t="n">
        <v>0</v>
      </c>
      <c r="D38" s="25" t="n">
        <v>0</v>
      </c>
      <c r="E38" s="25" t="n">
        <v>0</v>
      </c>
      <c r="F38" s="25" t="n">
        <v>-900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-900</v>
      </c>
      <c r="M38" s="25" t="n">
        <v>0</v>
      </c>
      <c r="N38" s="25" t="n">
        <v>0</v>
      </c>
      <c r="O38" s="28" t="n">
        <f aca="false">SUM(C38:N38)</f>
        <v>-1800</v>
      </c>
    </row>
    <row r="39" customFormat="false" ht="15" hidden="false" customHeight="false" outlineLevel="0" collapsed="false">
      <c r="B39" s="7" t="s">
        <v>108</v>
      </c>
      <c r="C39" s="25" t="n">
        <v>0</v>
      </c>
      <c r="D39" s="25" t="n">
        <v>-150</v>
      </c>
      <c r="E39" s="25" t="n">
        <v>-150</v>
      </c>
      <c r="F39" s="25" t="n">
        <v>-150</v>
      </c>
      <c r="G39" s="25" t="n">
        <v>-150</v>
      </c>
      <c r="H39" s="25" t="n">
        <v>-150</v>
      </c>
      <c r="I39" s="25" t="n">
        <v>-150</v>
      </c>
      <c r="J39" s="25" t="n">
        <v>-150</v>
      </c>
      <c r="K39" s="25" t="n">
        <v>-150</v>
      </c>
      <c r="L39" s="25" t="n">
        <v>-150</v>
      </c>
      <c r="M39" s="25" t="n">
        <v>-150</v>
      </c>
      <c r="N39" s="25" t="n">
        <v>-150</v>
      </c>
      <c r="O39" s="28" t="n">
        <f aca="false">SUM(C39:N39)</f>
        <v>-1650</v>
      </c>
    </row>
    <row r="40" customFormat="false" ht="15" hidden="false" customHeight="false" outlineLevel="0" collapsed="false">
      <c r="B40" s="5" t="s">
        <v>109</v>
      </c>
      <c r="C40" s="29" t="n">
        <f aca="false">SUM(C32:C39)</f>
        <v>-200</v>
      </c>
      <c r="D40" s="29" t="n">
        <f aca="false">SUM(D32:D39)</f>
        <v>-2733.33333333333</v>
      </c>
      <c r="E40" s="29" t="n">
        <f aca="false">SUM(E32:E39)</f>
        <v>-3233.33333333333</v>
      </c>
      <c r="F40" s="29" t="n">
        <f aca="false">SUM(F32:F39)</f>
        <v>-1133.33333333333</v>
      </c>
      <c r="G40" s="29" t="n">
        <f aca="false">SUM(G32:G39)</f>
        <v>-233.333333333333</v>
      </c>
      <c r="H40" s="29" t="n">
        <f aca="false">SUM(H32:H39)</f>
        <v>-2233.33333333333</v>
      </c>
      <c r="I40" s="29" t="n">
        <f aca="false">SUM(I32:I39)</f>
        <v>-233.333333333333</v>
      </c>
      <c r="J40" s="29" t="n">
        <f aca="false">SUM(J32:J39)</f>
        <v>-233.333333333333</v>
      </c>
      <c r="K40" s="29" t="n">
        <f aca="false">SUM(K32:K39)</f>
        <v>-233.333333333333</v>
      </c>
      <c r="L40" s="29" t="n">
        <f aca="false">SUM(L32:L39)</f>
        <v>-1133.33333333333</v>
      </c>
      <c r="M40" s="29" t="n">
        <f aca="false">SUM(M32:M39)</f>
        <v>-233.333333333333</v>
      </c>
      <c r="N40" s="29" t="n">
        <f aca="false">SUM(N32:N39)</f>
        <v>-233.333333333333</v>
      </c>
      <c r="O40" s="29" t="n">
        <f aca="false">SUM(C40:N40)</f>
        <v>-12066.6666666667</v>
      </c>
    </row>
    <row r="42" customFormat="false" ht="15" hidden="false" customHeight="false" outlineLevel="0" collapsed="false">
      <c r="B42" s="5" t="s">
        <v>110</v>
      </c>
      <c r="C42" s="31" t="n">
        <f aca="false">C29+C40</f>
        <v>-201.5</v>
      </c>
      <c r="D42" s="31" t="n">
        <f aca="false">D29+D40</f>
        <v>-2736.33333333333</v>
      </c>
      <c r="E42" s="31" t="n">
        <f aca="false">E29+E40</f>
        <v>-4675842.43333333</v>
      </c>
      <c r="F42" s="31" t="n">
        <f aca="false">F29+F40</f>
        <v>-9346348.53333333</v>
      </c>
      <c r="G42" s="31" t="n">
        <f aca="false">G29+G40</f>
        <v>-14018054.6333333</v>
      </c>
      <c r="H42" s="31" t="n">
        <f aca="false">H29+H40</f>
        <v>-18692660.8833333</v>
      </c>
      <c r="I42" s="31" t="n">
        <f aca="false">I29+I40</f>
        <v>-23363265.4833333</v>
      </c>
      <c r="J42" s="31" t="n">
        <f aca="false">J29+J40</f>
        <v>-32708476.3333333</v>
      </c>
      <c r="K42" s="31" t="n">
        <f aca="false">K29+K40</f>
        <v>-42053687.0333333</v>
      </c>
      <c r="L42" s="31" t="n">
        <f aca="false">L29+L40</f>
        <v>-46726996.2333333</v>
      </c>
      <c r="M42" s="31" t="n">
        <f aca="false">M29+M40</f>
        <v>-46725707.0833333</v>
      </c>
      <c r="N42" s="31" t="n">
        <f aca="false">N29+N40</f>
        <v>-46725317.7833333</v>
      </c>
      <c r="O42" s="31" t="n">
        <f aca="false">SUM(C42:N42)</f>
        <v>-285039294.266667</v>
      </c>
    </row>
    <row r="44" customFormat="false" ht="15" hidden="false" customHeight="false" outlineLevel="0" collapsed="false">
      <c r="B44" s="5" t="s">
        <v>111</v>
      </c>
      <c r="C44" s="31" t="n">
        <f aca="false">C42</f>
        <v>-201.5</v>
      </c>
      <c r="D44" s="31" t="n">
        <f aca="false">C44+D42</f>
        <v>-2937.83333333333</v>
      </c>
      <c r="E44" s="31" t="n">
        <f aca="false">D44+E42</f>
        <v>-4678780.26666667</v>
      </c>
      <c r="F44" s="31" t="n">
        <f aca="false">E44+F42</f>
        <v>-14025128.8</v>
      </c>
      <c r="G44" s="31" t="n">
        <f aca="false">F44+G42</f>
        <v>-28043183.4333333</v>
      </c>
      <c r="H44" s="31" t="n">
        <f aca="false">G44+H42</f>
        <v>-46735844.3166667</v>
      </c>
      <c r="I44" s="31" t="n">
        <f aca="false">H44+I42</f>
        <v>-70099109.8</v>
      </c>
      <c r="J44" s="31" t="n">
        <f aca="false">I44+J42</f>
        <v>-102807586.133333</v>
      </c>
      <c r="K44" s="31" t="n">
        <f aca="false">J44+K42</f>
        <v>-144861273.166667</v>
      </c>
      <c r="L44" s="31" t="n">
        <f aca="false">K44+L42</f>
        <v>-191588269.4</v>
      </c>
      <c r="M44" s="31" t="n">
        <f aca="false">L44+M42</f>
        <v>-238313976.483333</v>
      </c>
      <c r="N44" s="31" t="n">
        <f aca="false">M44+N42</f>
        <v>-285039294.266667</v>
      </c>
      <c r="O44" s="31" t="n">
        <f aca="false">N44</f>
        <v>-285039294.266667</v>
      </c>
    </row>
    <row r="47" customFormat="false" ht="15" hidden="false" customHeight="false" outlineLevel="0" collapsed="false">
      <c r="B47" s="5" t="s">
        <v>14</v>
      </c>
    </row>
    <row r="48" customFormat="false" ht="15" hidden="false" customHeight="false" outlineLevel="0" collapsed="false">
      <c r="B48" s="32" t="s">
        <v>112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customFormat="false" ht="15" hidden="false" customHeight="false" outlineLevel="0" collapsed="false">
      <c r="B49" s="32" t="s">
        <v>113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customFormat="false" ht="15" hidden="false" customHeight="false" outlineLevel="0" collapsed="false">
      <c r="B50" s="32" t="s">
        <v>114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customFormat="false" ht="15" hidden="false" customHeight="false" outlineLevel="0" collapsed="false">
      <c r="B51" s="32" t="s">
        <v>115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customFormat="false" ht="15" hidden="false" customHeight="false" outlineLevel="0" collapsed="false">
      <c r="B52" s="32" t="s">
        <v>116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customFormat="false" ht="15" hidden="false" customHeight="false" outlineLevel="0" collapsed="false">
      <c r="B53" s="32" t="s">
        <v>117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</sheetData>
  <mergeCells count="6">
    <mergeCell ref="B48:N48"/>
    <mergeCell ref="B49:N49"/>
    <mergeCell ref="B50:N50"/>
    <mergeCell ref="B51:N51"/>
    <mergeCell ref="B52:N52"/>
    <mergeCell ref="B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118</v>
      </c>
    </row>
    <row r="3" customFormat="false" ht="15" hidden="false" customHeight="false" outlineLevel="0" collapsed="false">
      <c r="B3" s="2" t="s">
        <v>119</v>
      </c>
    </row>
    <row r="6" customFormat="false" ht="15" hidden="false" customHeight="false" outlineLevel="0" collapsed="false">
      <c r="B6" s="12"/>
      <c r="C6" s="12" t="s">
        <v>120</v>
      </c>
      <c r="D6" s="12" t="s">
        <v>121</v>
      </c>
      <c r="E6" s="12" t="s">
        <v>122</v>
      </c>
      <c r="F6" s="12" t="s">
        <v>123</v>
      </c>
      <c r="G6" s="12" t="s">
        <v>124</v>
      </c>
    </row>
    <row r="7" customFormat="false" ht="15" hidden="false" customHeight="false" outlineLevel="0" collapsed="false">
      <c r="B7" s="7" t="s">
        <v>125</v>
      </c>
      <c r="C7" s="33" t="n">
        <f aca="false">Assumptions!C17</f>
        <v>290</v>
      </c>
      <c r="D7" s="33" t="n">
        <f aca="false">Assumptions!C18</f>
        <v>590</v>
      </c>
      <c r="E7" s="33" t="n">
        <f aca="false">Assumptions!C19</f>
        <v>890</v>
      </c>
      <c r="F7" s="33" t="n">
        <f aca="false">Assumptions!C20</f>
        <v>1950</v>
      </c>
      <c r="G7" s="33" t="n">
        <f aca="false">Assumptions!C21</f>
        <v>2500</v>
      </c>
    </row>
    <row r="8" customFormat="false" ht="15" hidden="false" customHeight="false" outlineLevel="0" collapsed="false">
      <c r="B8" s="7" t="s">
        <v>126</v>
      </c>
      <c r="C8" s="25" t="n">
        <f aca="false">C7*(1-Assumptions!$C$25)</f>
        <v>-5741710</v>
      </c>
      <c r="D8" s="25" t="n">
        <f aca="false">D7*(1-Assumptions!$C$25)</f>
        <v>-11681410</v>
      </c>
      <c r="E8" s="25" t="n">
        <f aca="false">E7*(1-Assumptions!$C$25)</f>
        <v>-17621110</v>
      </c>
      <c r="F8" s="25" t="n">
        <f aca="false">F7*(1-Assumptions!$C$25)</f>
        <v>-38608050</v>
      </c>
      <c r="G8" s="25" t="n">
        <f aca="false">G7*(1-Assumptions!$C$25)</f>
        <v>-49497500</v>
      </c>
    </row>
    <row r="10" customFormat="false" ht="15" hidden="false" customHeight="false" outlineLevel="0" collapsed="false">
      <c r="B10" s="7" t="s">
        <v>127</v>
      </c>
      <c r="C10" s="13" t="n">
        <v>8</v>
      </c>
      <c r="D10" s="13" t="n">
        <v>18</v>
      </c>
      <c r="E10" s="13" t="n">
        <v>28</v>
      </c>
      <c r="F10" s="13" t="n">
        <v>60</v>
      </c>
      <c r="G10" s="13" t="n">
        <v>120</v>
      </c>
    </row>
    <row r="11" customFormat="false" ht="15" hidden="false" customHeight="false" outlineLevel="0" collapsed="false">
      <c r="B11" s="7" t="s">
        <v>128</v>
      </c>
      <c r="C11" s="25" t="n">
        <f aca="false">0.05*Assumptions!$C$30</f>
        <v>0.0075</v>
      </c>
      <c r="D11" s="25" t="n">
        <f aca="false">0.15*Assumptions!$C$30</f>
        <v>0.0225</v>
      </c>
      <c r="E11" s="25" t="n">
        <f aca="false">0.3*Assumptions!$C$30</f>
        <v>0.045</v>
      </c>
      <c r="F11" s="25" t="n">
        <f aca="false">0.4*Assumptions!$C$30</f>
        <v>0.06</v>
      </c>
      <c r="G11" s="25" t="n">
        <f aca="false">0.5*Assumptions!$C$30</f>
        <v>0.075</v>
      </c>
    </row>
    <row r="12" customFormat="false" ht="15" hidden="false" customHeight="false" outlineLevel="0" collapsed="false">
      <c r="B12" s="7" t="s">
        <v>129</v>
      </c>
      <c r="C12" s="34" t="n">
        <v>1.5</v>
      </c>
      <c r="D12" s="34" t="n">
        <v>3</v>
      </c>
      <c r="E12" s="34" t="n">
        <v>6</v>
      </c>
      <c r="F12" s="34" t="n">
        <v>12</v>
      </c>
      <c r="G12" s="34" t="n">
        <v>24</v>
      </c>
    </row>
    <row r="14" customFormat="false" ht="15" hidden="false" customHeight="false" outlineLevel="0" collapsed="false">
      <c r="B14" s="5" t="s">
        <v>130</v>
      </c>
      <c r="C14" s="30" t="n">
        <f aca="false">C7-C10-C11</f>
        <v>281.9925</v>
      </c>
      <c r="D14" s="30" t="n">
        <f aca="false">D7-D10-D11</f>
        <v>571.9775</v>
      </c>
      <c r="E14" s="30" t="n">
        <f aca="false">E7-E10-E11</f>
        <v>861.955</v>
      </c>
      <c r="F14" s="30" t="n">
        <f aca="false">F7-F10-F11</f>
        <v>1889.94</v>
      </c>
      <c r="G14" s="30" t="n">
        <f aca="false">G7-G10-G11</f>
        <v>2379.925</v>
      </c>
    </row>
    <row r="15" customFormat="false" ht="15" hidden="false" customHeight="false" outlineLevel="0" collapsed="false">
      <c r="B15" s="7" t="s">
        <v>131</v>
      </c>
      <c r="C15" s="25" t="n">
        <f aca="false">C8-C10-C11</f>
        <v>-5741718.0075</v>
      </c>
      <c r="D15" s="25" t="n">
        <f aca="false">D8-D10-D11</f>
        <v>-11681428.0225</v>
      </c>
      <c r="E15" s="25" t="n">
        <f aca="false">E8-E10-E11</f>
        <v>-17621138.045</v>
      </c>
      <c r="F15" s="25" t="n">
        <f aca="false">F8-F10-F11</f>
        <v>-38608110.06</v>
      </c>
      <c r="G15" s="25" t="n">
        <f aca="false">G8-G10-G11</f>
        <v>-49497620.075</v>
      </c>
    </row>
    <row r="16" customFormat="false" ht="15" hidden="false" customHeight="false" outlineLevel="0" collapsed="false">
      <c r="B16" s="7" t="s">
        <v>132</v>
      </c>
      <c r="C16" s="35" t="n">
        <f aca="false">C14/C7</f>
        <v>0.972387931034483</v>
      </c>
      <c r="D16" s="35" t="n">
        <f aca="false">D14/D7</f>
        <v>0.969453389830508</v>
      </c>
      <c r="E16" s="35" t="n">
        <f aca="false">E14/E7</f>
        <v>0.968488764044944</v>
      </c>
      <c r="F16" s="35" t="n">
        <f aca="false">F14/F7</f>
        <v>0.9692</v>
      </c>
      <c r="G16" s="35" t="n">
        <f aca="false">G14/G7</f>
        <v>0.95197</v>
      </c>
    </row>
    <row r="19" customFormat="false" ht="15" hidden="false" customHeight="false" outlineLevel="0" collapsed="false">
      <c r="B19" s="20" t="s">
        <v>133</v>
      </c>
      <c r="C19" s="21"/>
      <c r="D19" s="21"/>
      <c r="E19" s="21"/>
      <c r="F19" s="21"/>
      <c r="G19" s="21"/>
    </row>
    <row r="20" customFormat="false" ht="15" hidden="false" customHeight="false" outlineLevel="0" collapsed="false">
      <c r="B20" s="7" t="s">
        <v>134</v>
      </c>
      <c r="C20" s="33" t="n">
        <f aca="false">Assumptions!C22</f>
        <v>2800</v>
      </c>
      <c r="D20" s="33" t="n">
        <f aca="false">Assumptions!C23</f>
        <v>5800</v>
      </c>
      <c r="E20" s="33" t="n">
        <f aca="false">Assumptions!C24</f>
        <v>11400</v>
      </c>
      <c r="F20" s="33" t="n">
        <f aca="false">Assumptions!C25</f>
        <v>19800</v>
      </c>
      <c r="G20" s="33" t="n">
        <f aca="false">Assumptions!C26</f>
        <v>36000</v>
      </c>
    </row>
    <row r="21" customFormat="false" ht="15" hidden="false" customHeight="false" outlineLevel="0" collapsed="false">
      <c r="B21" s="7" t="s">
        <v>135</v>
      </c>
      <c r="C21" s="36" t="n">
        <f aca="false">C20/C7</f>
        <v>9.6551724137931</v>
      </c>
      <c r="D21" s="36" t="n">
        <f aca="false">D20/D7</f>
        <v>9.83050847457627</v>
      </c>
      <c r="E21" s="36" t="n">
        <f aca="false">E20/E7</f>
        <v>12.8089887640449</v>
      </c>
      <c r="F21" s="36" t="n">
        <f aca="false">F20/F7</f>
        <v>10.1538461538462</v>
      </c>
      <c r="G21" s="36" t="n">
        <f aca="false">G20/G7</f>
        <v>14.4</v>
      </c>
    </row>
    <row r="22" customFormat="false" ht="15" hidden="false" customHeight="false" outlineLevel="0" collapsed="false">
      <c r="B22" s="7" t="s">
        <v>136</v>
      </c>
      <c r="C22" s="25" t="n">
        <f aca="false">8*C7-C20</f>
        <v>-480</v>
      </c>
      <c r="D22" s="25" t="n">
        <f aca="false">8*D7-D20</f>
        <v>-1080</v>
      </c>
      <c r="E22" s="25" t="n">
        <f aca="false">8*E7-E20</f>
        <v>-4280</v>
      </c>
      <c r="F22" s="25" t="n">
        <f aca="false">8*F7-F20</f>
        <v>-4200</v>
      </c>
      <c r="G22" s="25" t="n">
        <f aca="false">8*G7-G20</f>
        <v>-16000</v>
      </c>
    </row>
    <row r="23" customFormat="false" ht="15" hidden="false" customHeight="false" outlineLevel="0" collapsed="false">
      <c r="B23" s="7" t="s">
        <v>137</v>
      </c>
      <c r="C23" s="25" t="n">
        <f aca="false">12*C7-C20</f>
        <v>680</v>
      </c>
      <c r="D23" s="25" t="n">
        <f aca="false">12*D7-D20</f>
        <v>1280</v>
      </c>
      <c r="E23" s="25" t="n">
        <f aca="false">12*E7-E20</f>
        <v>-720</v>
      </c>
      <c r="F23" s="25" t="n">
        <f aca="false">12*F7-F20</f>
        <v>3600</v>
      </c>
      <c r="G23" s="25" t="n">
        <f aca="false">12*G7-G20</f>
        <v>-6000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2" t="s">
        <v>139</v>
      </c>
    </row>
    <row r="6" customFormat="false" ht="15" hidden="false" customHeight="false" outlineLevel="0" collapsed="false">
      <c r="B6" s="12"/>
      <c r="C6" s="12" t="s">
        <v>140</v>
      </c>
      <c r="D6" s="12" t="s">
        <v>141</v>
      </c>
      <c r="E6" s="12" t="s">
        <v>142</v>
      </c>
    </row>
    <row r="8" customFormat="false" ht="15" hidden="false" customHeight="false" outlineLevel="0" collapsed="false">
      <c r="B8" s="7" t="s">
        <v>143</v>
      </c>
      <c r="C8" s="37" t="n">
        <f aca="false">'Monthly Cashflow Y1'!O11</f>
        <v>15</v>
      </c>
      <c r="D8" s="22" t="n">
        <v>40</v>
      </c>
      <c r="E8" s="22" t="n">
        <v>85</v>
      </c>
    </row>
    <row r="9" customFormat="false" ht="15" hidden="false" customHeight="false" outlineLevel="0" collapsed="false">
      <c r="B9" s="7" t="s">
        <v>144</v>
      </c>
      <c r="C9" s="22" t="n">
        <v>2</v>
      </c>
      <c r="D9" s="22" t="n">
        <v>12</v>
      </c>
      <c r="E9" s="22" t="n">
        <v>32</v>
      </c>
    </row>
    <row r="11" customFormat="false" ht="15" hidden="false" customHeight="false" outlineLevel="0" collapsed="false">
      <c r="B11" s="20" t="s">
        <v>145</v>
      </c>
      <c r="C11" s="21"/>
      <c r="D11" s="21"/>
      <c r="E11" s="21"/>
    </row>
    <row r="12" customFormat="false" ht="15" hidden="false" customHeight="false" outlineLevel="0" collapsed="false">
      <c r="B12" s="7" t="s">
        <v>146</v>
      </c>
      <c r="C12" s="33" t="n">
        <f aca="false">'Monthly Cashflow Y1'!O22</f>
        <v>-285024280</v>
      </c>
      <c r="D12" s="13" t="n">
        <v>85000</v>
      </c>
      <c r="E12" s="13" t="n">
        <v>180000</v>
      </c>
    </row>
    <row r="13" customFormat="false" ht="15" hidden="false" customHeight="false" outlineLevel="0" collapsed="false">
      <c r="B13" s="7" t="s">
        <v>147</v>
      </c>
      <c r="C13" s="25" t="n">
        <f aca="false">C9*Assumptions!C24</f>
        <v>22800</v>
      </c>
      <c r="D13" s="25" t="n">
        <f aca="false">D9*Assumptions!C24</f>
        <v>136800</v>
      </c>
      <c r="E13" s="25" t="n">
        <f aca="false">E9*Assumptions!C24</f>
        <v>364800</v>
      </c>
    </row>
    <row r="14" customFormat="false" ht="15" hidden="false" customHeight="false" outlineLevel="0" collapsed="false">
      <c r="B14" s="5" t="s">
        <v>148</v>
      </c>
      <c r="C14" s="27" t="n">
        <f aca="false">C12+C13</f>
        <v>-285001480</v>
      </c>
      <c r="D14" s="27" t="n">
        <f aca="false">D12+D13</f>
        <v>221800</v>
      </c>
      <c r="E14" s="27" t="n">
        <f aca="false">E12+E13</f>
        <v>544800</v>
      </c>
    </row>
    <row r="16" customFormat="false" ht="15" hidden="false" customHeight="false" outlineLevel="0" collapsed="false">
      <c r="B16" s="20" t="s">
        <v>149</v>
      </c>
      <c r="C16" s="21"/>
      <c r="D16" s="21"/>
      <c r="E16" s="21"/>
    </row>
    <row r="17" customFormat="false" ht="15" hidden="false" customHeight="false" outlineLevel="0" collapsed="false">
      <c r="B17" s="7" t="s">
        <v>150</v>
      </c>
      <c r="C17" s="33" t="n">
        <f aca="false">SUM('Monthly Cashflow Y1'!O25:O27)</f>
        <v>-2947.6</v>
      </c>
      <c r="D17" s="13" t="n">
        <v>-9500</v>
      </c>
      <c r="E17" s="13" t="n">
        <v>-22000</v>
      </c>
    </row>
    <row r="18" customFormat="false" ht="15" hidden="false" customHeight="false" outlineLevel="0" collapsed="false">
      <c r="B18" s="7" t="s">
        <v>151</v>
      </c>
      <c r="C18" s="33" t="n">
        <f aca="false">'Monthly Cashflow Y1'!O40</f>
        <v>-12066.6666666667</v>
      </c>
      <c r="D18" s="13" t="n">
        <v>-22000</v>
      </c>
      <c r="E18" s="13" t="n">
        <v>-42000</v>
      </c>
    </row>
    <row r="19" customFormat="false" ht="15" hidden="false" customHeight="false" outlineLevel="0" collapsed="false">
      <c r="B19" s="7" t="s">
        <v>152</v>
      </c>
      <c r="C19" s="13" t="n">
        <v>0</v>
      </c>
      <c r="D19" s="13" t="n">
        <v>-32000</v>
      </c>
      <c r="E19" s="13" t="n">
        <v>-65000</v>
      </c>
    </row>
    <row r="20" customFormat="false" ht="15" hidden="false" customHeight="false" outlineLevel="0" collapsed="false">
      <c r="B20" s="5" t="s">
        <v>153</v>
      </c>
      <c r="C20" s="27" t="n">
        <f aca="false">SUM(C17:C19)</f>
        <v>-15014.2666666667</v>
      </c>
      <c r="D20" s="27" t="n">
        <f aca="false">SUM(D17:D19)</f>
        <v>-63500</v>
      </c>
      <c r="E20" s="27" t="n">
        <f aca="false">SUM(E17:E19)</f>
        <v>-129000</v>
      </c>
    </row>
    <row r="22" customFormat="false" ht="15" hidden="false" customHeight="false" outlineLevel="0" collapsed="false">
      <c r="B22" s="5" t="s">
        <v>154</v>
      </c>
      <c r="C22" s="30" t="n">
        <f aca="false">C14+C20</f>
        <v>-285016494.266667</v>
      </c>
      <c r="D22" s="30" t="n">
        <f aca="false">D14+D20</f>
        <v>158300</v>
      </c>
      <c r="E22" s="30" t="n">
        <f aca="false">E14+E20</f>
        <v>415800</v>
      </c>
    </row>
    <row r="23" customFormat="false" ht="15" hidden="false" customHeight="false" outlineLevel="0" collapsed="false">
      <c r="B23" s="7" t="s">
        <v>155</v>
      </c>
      <c r="C23" s="25" t="n">
        <f aca="false">C22</f>
        <v>-285016494.266667</v>
      </c>
      <c r="D23" s="25" t="n">
        <f aca="false">C23+D22</f>
        <v>-284858194.266667</v>
      </c>
      <c r="E23" s="25" t="n">
        <f aca="false">D23+E22</f>
        <v>-284442394.266667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156</v>
      </c>
    </row>
    <row r="3" customFormat="false" ht="15" hidden="false" customHeight="false" outlineLevel="0" collapsed="false">
      <c r="B3" s="2" t="s">
        <v>157</v>
      </c>
    </row>
    <row r="6" customFormat="false" ht="15" hidden="false" customHeight="false" outlineLevel="0" collapsed="false">
      <c r="B6" s="38" t="s">
        <v>158</v>
      </c>
      <c r="C6" s="12" t="s">
        <v>159</v>
      </c>
      <c r="D6" s="12" t="s">
        <v>160</v>
      </c>
      <c r="E6" s="12" t="s">
        <v>161</v>
      </c>
      <c r="F6" s="12" t="s">
        <v>162</v>
      </c>
      <c r="G6" s="12" t="s">
        <v>163</v>
      </c>
    </row>
    <row r="7" customFormat="false" ht="31.5" hidden="false" customHeight="true" outlineLevel="0" collapsed="false">
      <c r="B7" s="7" t="s">
        <v>164</v>
      </c>
      <c r="C7" s="14" t="s">
        <v>165</v>
      </c>
      <c r="D7" s="13" t="n">
        <v>250000</v>
      </c>
      <c r="E7" s="13" t="n">
        <v>1500000</v>
      </c>
      <c r="F7" s="14" t="s">
        <v>166</v>
      </c>
      <c r="G7" s="39" t="s">
        <v>167</v>
      </c>
    </row>
    <row r="8" customFormat="false" ht="31.5" hidden="false" customHeight="true" outlineLevel="0" collapsed="false">
      <c r="B8" s="7" t="s">
        <v>168</v>
      </c>
      <c r="C8" s="14" t="s">
        <v>169</v>
      </c>
      <c r="D8" s="13" t="n">
        <v>2000000</v>
      </c>
      <c r="E8" s="13" t="n">
        <v>8000000</v>
      </c>
      <c r="F8" s="14" t="s">
        <v>170</v>
      </c>
      <c r="G8" s="39" t="s">
        <v>171</v>
      </c>
    </row>
    <row r="9" customFormat="false" ht="31.5" hidden="false" customHeight="true" outlineLevel="0" collapsed="false">
      <c r="B9" s="7" t="s">
        <v>172</v>
      </c>
      <c r="C9" s="14" t="s">
        <v>173</v>
      </c>
      <c r="D9" s="13" t="n">
        <v>8000000</v>
      </c>
      <c r="E9" s="13" t="n">
        <v>35000000</v>
      </c>
      <c r="F9" s="14" t="s">
        <v>174</v>
      </c>
      <c r="G9" s="39" t="s">
        <v>175</v>
      </c>
    </row>
    <row r="11" customFormat="false" ht="15" hidden="false" customHeight="false" outlineLevel="0" collapsed="false">
      <c r="B11" s="5" t="s">
        <v>176</v>
      </c>
      <c r="D11" s="30" t="n">
        <f aca="false">SUM(D7:D9)</f>
        <v>10250000</v>
      </c>
      <c r="F11" s="40" t="s">
        <v>177</v>
      </c>
    </row>
    <row r="14" customFormat="false" ht="15" hidden="false" customHeight="false" outlineLevel="0" collapsed="false">
      <c r="B14" s="20" t="s">
        <v>178</v>
      </c>
    </row>
    <row r="15" customFormat="false" ht="15" hidden="false" customHeight="false" outlineLevel="0" collapsed="false">
      <c r="B15" s="10" t="s">
        <v>179</v>
      </c>
      <c r="C15" s="12" t="s">
        <v>180</v>
      </c>
      <c r="D15" s="12" t="s">
        <v>181</v>
      </c>
      <c r="E15" s="12" t="s">
        <v>182</v>
      </c>
      <c r="F15" s="12" t="s">
        <v>183</v>
      </c>
    </row>
    <row r="16" customFormat="false" ht="15" hidden="false" customHeight="false" outlineLevel="0" collapsed="false">
      <c r="B16" s="7" t="s">
        <v>184</v>
      </c>
      <c r="C16" s="13" t="n">
        <v>35000</v>
      </c>
      <c r="D16" s="13" t="n">
        <v>110000</v>
      </c>
      <c r="E16" s="13" t="n">
        <v>200000</v>
      </c>
      <c r="F16" s="25" t="n">
        <f aca="false">C16+D16+E16</f>
        <v>345000</v>
      </c>
    </row>
    <row r="17" customFormat="false" ht="15" hidden="false" customHeight="false" outlineLevel="0" collapsed="false">
      <c r="B17" s="7" t="s">
        <v>185</v>
      </c>
      <c r="C17" s="13" t="n">
        <v>0</v>
      </c>
      <c r="D17" s="13" t="n">
        <v>110000</v>
      </c>
      <c r="E17" s="13" t="n">
        <v>220000</v>
      </c>
      <c r="F17" s="25" t="n">
        <f aca="false">C17+D17+E17</f>
        <v>330000</v>
      </c>
    </row>
    <row r="18" customFormat="false" ht="15" hidden="false" customHeight="false" outlineLevel="0" collapsed="false">
      <c r="B18" s="7" t="s">
        <v>186</v>
      </c>
      <c r="C18" s="13" t="n">
        <v>0</v>
      </c>
      <c r="D18" s="13" t="n">
        <v>75000</v>
      </c>
      <c r="E18" s="13" t="n">
        <v>160000</v>
      </c>
      <c r="F18" s="25" t="n">
        <f aca="false">C18+D18+E18</f>
        <v>235000</v>
      </c>
    </row>
    <row r="19" customFormat="false" ht="15" hidden="false" customHeight="false" outlineLevel="0" collapsed="false">
      <c r="B19" s="7" t="s">
        <v>187</v>
      </c>
      <c r="C19" s="13" t="n">
        <v>8000</v>
      </c>
      <c r="D19" s="13" t="n">
        <v>75000</v>
      </c>
      <c r="E19" s="13" t="n">
        <v>220000</v>
      </c>
      <c r="F19" s="25" t="n">
        <f aca="false">C19+D19+E19</f>
        <v>303000</v>
      </c>
    </row>
    <row r="20" customFormat="false" ht="15" hidden="false" customHeight="false" outlineLevel="0" collapsed="false">
      <c r="B20" s="7" t="s">
        <v>188</v>
      </c>
      <c r="C20" s="13" t="n">
        <v>8000</v>
      </c>
      <c r="D20" s="13" t="n">
        <v>60000</v>
      </c>
      <c r="E20" s="13" t="n">
        <v>180000</v>
      </c>
      <c r="F20" s="25" t="n">
        <f aca="false">C20+D20+E20</f>
        <v>248000</v>
      </c>
    </row>
    <row r="21" customFormat="false" ht="15" hidden="false" customHeight="false" outlineLevel="0" collapsed="false">
      <c r="B21" s="7" t="s">
        <v>189</v>
      </c>
      <c r="C21" s="13" t="n">
        <v>4000</v>
      </c>
      <c r="D21" s="13" t="n">
        <v>80000</v>
      </c>
      <c r="E21" s="13" t="n">
        <v>250000</v>
      </c>
      <c r="F21" s="25" t="n">
        <f aca="false">C21+D21+E21</f>
        <v>334000</v>
      </c>
    </row>
    <row r="22" customFormat="false" ht="15" hidden="false" customHeight="false" outlineLevel="0" collapsed="false">
      <c r="B22" s="7" t="s">
        <v>190</v>
      </c>
      <c r="C22" s="13" t="n">
        <v>12000</v>
      </c>
      <c r="D22" s="13" t="n">
        <v>50000</v>
      </c>
      <c r="E22" s="13" t="n">
        <v>180000</v>
      </c>
      <c r="F22" s="25" t="n">
        <f aca="false">C22+D22+E22</f>
        <v>242000</v>
      </c>
    </row>
    <row r="23" customFormat="false" ht="15" hidden="false" customHeight="false" outlineLevel="0" collapsed="false">
      <c r="B23" s="7" t="s">
        <v>191</v>
      </c>
      <c r="C23" s="13" t="n">
        <v>0</v>
      </c>
      <c r="D23" s="13" t="n">
        <v>250000</v>
      </c>
      <c r="E23" s="13" t="n">
        <v>0</v>
      </c>
      <c r="F23" s="25" t="n">
        <f aca="false">C23+D23+E23</f>
        <v>250000</v>
      </c>
    </row>
    <row r="24" customFormat="false" ht="15" hidden="false" customHeight="false" outlineLevel="0" collapsed="false">
      <c r="B24" s="7" t="s">
        <v>192</v>
      </c>
      <c r="C24" s="13" t="n">
        <v>0</v>
      </c>
      <c r="D24" s="13" t="n">
        <v>0</v>
      </c>
      <c r="E24" s="13" t="n">
        <v>1600000</v>
      </c>
      <c r="F24" s="25" t="n">
        <f aca="false">C24+D24+E24</f>
        <v>1600000</v>
      </c>
    </row>
    <row r="25" customFormat="false" ht="15" hidden="false" customHeight="false" outlineLevel="0" collapsed="false">
      <c r="B25" s="7" t="s">
        <v>193</v>
      </c>
      <c r="C25" s="13" t="n">
        <v>0</v>
      </c>
      <c r="D25" s="13" t="n">
        <v>80000</v>
      </c>
      <c r="E25" s="13" t="n">
        <v>220000</v>
      </c>
      <c r="F25" s="25" t="n">
        <f aca="false">C25+D25+E25</f>
        <v>300000</v>
      </c>
    </row>
    <row r="26" customFormat="false" ht="15" hidden="false" customHeight="false" outlineLevel="0" collapsed="false">
      <c r="B26" s="7" t="s">
        <v>194</v>
      </c>
      <c r="C26" s="13" t="n">
        <v>33000</v>
      </c>
      <c r="D26" s="13" t="n">
        <v>110000</v>
      </c>
      <c r="E26" s="13" t="n">
        <v>770000</v>
      </c>
      <c r="F26" s="25" t="n">
        <f aca="false">C26+D26+E26</f>
        <v>913000</v>
      </c>
    </row>
    <row r="27" customFormat="false" ht="15" hidden="false" customHeight="false" outlineLevel="0" collapsed="false">
      <c r="B27" s="5" t="s">
        <v>195</v>
      </c>
      <c r="C27" s="27" t="n">
        <f aca="false">SUM(C16:C26)</f>
        <v>100000</v>
      </c>
      <c r="D27" s="27" t="n">
        <f aca="false">SUM(D16:D26)</f>
        <v>1000000</v>
      </c>
      <c r="E27" s="27" t="n">
        <f aca="false">SUM(E16:E26)</f>
        <v>4000000</v>
      </c>
      <c r="F27" s="27" t="n">
        <f aca="false">SUM(F16:F26)</f>
        <v>5100000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196</v>
      </c>
    </row>
    <row r="3" customFormat="false" ht="15" hidden="false" customHeight="false" outlineLevel="0" collapsed="false">
      <c r="B3" s="2" t="s">
        <v>197</v>
      </c>
    </row>
    <row r="6" customFormat="false" ht="15" hidden="false" customHeight="false" outlineLevel="0" collapsed="false">
      <c r="B6" s="12"/>
      <c r="C6" s="12" t="s">
        <v>198</v>
      </c>
      <c r="D6" s="12" t="s">
        <v>199</v>
      </c>
      <c r="E6" s="12" t="s">
        <v>200</v>
      </c>
    </row>
    <row r="7" customFormat="false" ht="15" hidden="false" customHeight="false" outlineLevel="0" collapsed="false">
      <c r="B7" s="7" t="s">
        <v>201</v>
      </c>
      <c r="C7" s="22" t="n">
        <v>8</v>
      </c>
      <c r="D7" s="22" t="n">
        <v>15</v>
      </c>
      <c r="E7" s="22" t="n">
        <v>25</v>
      </c>
    </row>
    <row r="8" customFormat="false" ht="15" hidden="false" customHeight="false" outlineLevel="0" collapsed="false">
      <c r="B8" s="7" t="s">
        <v>202</v>
      </c>
      <c r="C8" s="17" t="n">
        <v>0</v>
      </c>
      <c r="D8" s="17" t="n">
        <v>2</v>
      </c>
      <c r="E8" s="17" t="n">
        <v>5</v>
      </c>
    </row>
    <row r="9" customFormat="false" ht="15" hidden="false" customHeight="false" outlineLevel="0" collapsed="false">
      <c r="B9" s="7" t="s">
        <v>203</v>
      </c>
      <c r="C9" s="22" t="n">
        <v>4</v>
      </c>
      <c r="D9" s="22" t="n">
        <v>5</v>
      </c>
      <c r="E9" s="22" t="n">
        <v>7</v>
      </c>
    </row>
    <row r="10" customFormat="false" ht="15" hidden="false" customHeight="false" outlineLevel="0" collapsed="false">
      <c r="B10" s="7" t="s">
        <v>204</v>
      </c>
      <c r="C10" s="34" t="n">
        <v>2</v>
      </c>
      <c r="D10" s="34" t="n">
        <v>2.4</v>
      </c>
      <c r="E10" s="34" t="n">
        <v>2.8</v>
      </c>
    </row>
    <row r="11" customFormat="false" ht="15" hidden="false" customHeight="false" outlineLevel="0" collapsed="false">
      <c r="B11" s="7" t="s">
        <v>51</v>
      </c>
      <c r="C11" s="17" t="n">
        <v>0.3</v>
      </c>
      <c r="D11" s="17" t="n">
        <v>0.4</v>
      </c>
      <c r="E11" s="17" t="n">
        <v>0.5</v>
      </c>
    </row>
    <row r="12" customFormat="false" ht="15" hidden="false" customHeight="false" outlineLevel="0" collapsed="false">
      <c r="B12" s="7" t="s">
        <v>205</v>
      </c>
      <c r="C12" s="17" t="n">
        <v>0.2</v>
      </c>
      <c r="D12" s="17" t="n">
        <v>0.3</v>
      </c>
      <c r="E12" s="17" t="n">
        <v>0.4</v>
      </c>
    </row>
    <row r="14" customFormat="false" ht="15" hidden="false" customHeight="false" outlineLevel="0" collapsed="false">
      <c r="B14" s="20" t="s">
        <v>206</v>
      </c>
      <c r="C14" s="21"/>
      <c r="D14" s="21"/>
      <c r="E14" s="21"/>
    </row>
    <row r="15" customFormat="false" ht="15" hidden="false" customHeight="false" outlineLevel="0" collapsed="false">
      <c r="B15" s="7" t="s">
        <v>146</v>
      </c>
      <c r="C15" s="25" t="n">
        <f aca="false">C7*C9*(C10*350)</f>
        <v>22400</v>
      </c>
      <c r="D15" s="25" t="n">
        <f aca="false">D7*D9*(D10*350)</f>
        <v>63000</v>
      </c>
      <c r="E15" s="25" t="n">
        <f aca="false">E7*E9*(E10*350)</f>
        <v>171500</v>
      </c>
    </row>
    <row r="16" customFormat="false" ht="15" hidden="false" customHeight="false" outlineLevel="0" collapsed="false">
      <c r="B16" s="7" t="s">
        <v>207</v>
      </c>
      <c r="C16" s="25" t="n">
        <f aca="false">C8*Assumptions!$C$23</f>
        <v>0</v>
      </c>
      <c r="D16" s="25" t="n">
        <f aca="false">D8*Assumptions!$C$23</f>
        <v>11600</v>
      </c>
      <c r="E16" s="25" t="n">
        <f aca="false">E8*Assumptions!$C$23</f>
        <v>29000</v>
      </c>
    </row>
    <row r="17" customFormat="false" ht="15" hidden="false" customHeight="false" outlineLevel="0" collapsed="false">
      <c r="B17" s="7" t="s">
        <v>208</v>
      </c>
      <c r="C17" s="25" t="n">
        <f aca="false">-IF(C7&lt;=10,C15*0.3,C15*0.3*10/C7)</f>
        <v>-6720</v>
      </c>
      <c r="D17" s="25" t="n">
        <f aca="false">-IF(D7&lt;=10,D15*0.3,D15*0.3*10/D7)</f>
        <v>-12600</v>
      </c>
      <c r="E17" s="25" t="n">
        <f aca="false">-IF(E7&lt;=10,E15*0.3,E15*0.3*10/E7)</f>
        <v>-20580</v>
      </c>
    </row>
    <row r="18" customFormat="false" ht="15" hidden="false" customHeight="false" outlineLevel="0" collapsed="false">
      <c r="B18" s="5" t="s">
        <v>148</v>
      </c>
      <c r="C18" s="30" t="n">
        <f aca="false">SUM(C15:C17)</f>
        <v>15680</v>
      </c>
      <c r="D18" s="30" t="n">
        <f aca="false">SUM(D15:D17)</f>
        <v>62000</v>
      </c>
      <c r="E18" s="30" t="n">
        <f aca="false">SUM(E15:E17)</f>
        <v>179920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2026-06-01T22:42:42Z</dcterms:created>
  <dc:creator>openpyxl</dc:creator>
  <dc:description/>
  <dc:language>en-US</dc:language>
  <cp:lastModifiedBy/>
  <dcterms:modified xsi:type="dcterms:W3CDTF">2026-06-01T22:42:42Z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