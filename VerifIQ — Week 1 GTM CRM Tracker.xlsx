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Templates" sheetId="3" state="visible" r:id="rId5"/>
    <sheet name="Weekly Review" sheetId="4" state="visible" r:id="rId6"/>
    <sheet name="Target List" sheetId="5" state="visible" r:id="rId7"/>
  </sheets>
  <definedNames>
    <definedName function="false" hidden="true" localSheetId="1" name="_xlnm._FilterDatabase" vbProcedure="false">Tracker!$A$2:$P$500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<sst xmlns="http://schemas.openxmlformats.org/spreadsheetml/2006/main" count="298" uniqueCount="205">
  <si>
    <t xml:space="preserve">VerifIQ — Week 1 GTM CRM</t>
  </si>
  <si>
    <t xml:space="preserve">Live conversion funnel. Updated as you log outreach in the Tracker tab.</t>
  </si>
  <si>
    <t xml:space="preserve">Conversion Funnel</t>
  </si>
  <si>
    <t xml:space="preserve">By Channel</t>
  </si>
  <si>
    <t xml:space="preserve">Outreach sent (total)</t>
  </si>
  <si>
    <t xml:space="preserve">Channel</t>
  </si>
  <si>
    <t xml:space="preserve">Sent</t>
  </si>
  <si>
    <t xml:space="preserve">Replies</t>
  </si>
  <si>
    <t xml:space="preserve">Replies received</t>
  </si>
  <si>
    <t xml:space="preserve">LinkedIn DM</t>
  </si>
  <si>
    <t xml:space="preserve">Interested / Booked call</t>
  </si>
  <si>
    <t xml:space="preserve">Cold email</t>
  </si>
  <si>
    <t xml:space="preserve">Pilot signed</t>
  </si>
  <si>
    <t xml:space="preserve">Warm intro</t>
  </si>
  <si>
    <t xml:space="preserve">Paying customer</t>
  </si>
  <si>
    <t xml:space="preserve">Direct call</t>
  </si>
  <si>
    <t xml:space="preserve">Event / in person</t>
  </si>
  <si>
    <t xml:space="preserve">Webinar</t>
  </si>
  <si>
    <t xml:space="preserve">By Persona Match (which product)</t>
  </si>
  <si>
    <t xml:space="preserve">Week 1 Targets</t>
  </si>
  <si>
    <t xml:space="preserve">Persona</t>
  </si>
  <si>
    <t xml:space="preserve">Outreach sent</t>
  </si>
  <si>
    <t xml:space="preserve">Reply rate</t>
  </si>
  <si>
    <t xml:space="preserve">Goal</t>
  </si>
  <si>
    <t xml:space="preserve">Target</t>
  </si>
  <si>
    <t xml:space="preserve">Actual</t>
  </si>
  <si>
    <t xml:space="preserve">On track?</t>
  </si>
  <si>
    <t xml:space="preserve">Verify (designer)</t>
  </si>
  <si>
    <t xml:space="preserve">LinkedIn posts live</t>
  </si>
  <si>
    <t xml:space="preserve">Hunt (contractor)</t>
  </si>
  <si>
    <t xml:space="preserve">Cold emails sent</t>
  </si>
  <si>
    <t xml:space="preserve">Studio (sole pract.)</t>
  </si>
  <si>
    <t xml:space="preserve">Warm intros sent</t>
  </si>
  <si>
    <t xml:space="preserve">Programme (Employer-side)</t>
  </si>
  <si>
    <t xml:space="preserve">Channel partner pitches</t>
  </si>
  <si>
    <t xml:space="preserve">Channel partner</t>
  </si>
  <si>
    <t xml:space="preserve">Pilot proposals</t>
  </si>
  <si>
    <t xml:space="preserve">Conversations booked</t>
  </si>
  <si>
    <t xml:space="preserve">VerifIQ — Outreach Tracker — Add a row per outreach attempt. Yellow cells you fill in; everything else is reference.</t>
  </si>
  <si>
    <t xml:space="preserve">Date sent</t>
  </si>
  <si>
    <t xml:space="preserve">Recipient name</t>
  </si>
  <si>
    <t xml:space="preserve">Firm / org</t>
  </si>
  <si>
    <t xml:space="preserve">Role / title</t>
  </si>
  <si>
    <t xml:space="preserve">Source of contact</t>
  </si>
  <si>
    <t xml:space="preserve">Persona match</t>
  </si>
  <si>
    <t xml:space="preserve">Personalisation hook</t>
  </si>
  <si>
    <t xml:space="preserve">Template used</t>
  </si>
  <si>
    <t xml:space="preserve">F/U 1 date</t>
  </si>
  <si>
    <t xml:space="preserve">F/U 2 date</t>
  </si>
  <si>
    <t xml:space="preserve">F/U 3 date</t>
  </si>
  <si>
    <t xml:space="preserve">Reply received?</t>
  </si>
  <si>
    <t xml:space="preserve">Outcome</t>
  </si>
  <si>
    <t xml:space="preserve">Next action</t>
  </si>
  <si>
    <t xml:space="preserve">Notes</t>
  </si>
  <si>
    <t xml:space="preserve">2026-06-01</t>
  </si>
  <si>
    <t xml:space="preserve">Mary O'Sullivan</t>
  </si>
  <si>
    <t xml:space="preserve">Murphy Hennessy Architects</t>
  </si>
  <si>
    <t xml:space="preserve">Partner</t>
  </si>
  <si>
    <t xml:space="preserve">RIAI directory</t>
  </si>
  <si>
    <t xml:space="preserve">Recent Carlow project completion post</t>
  </si>
  <si>
    <t xml:space="preserve">3.1 Designer cold</t>
  </si>
  <si>
    <t xml:space="preserve">2026-06-05</t>
  </si>
  <si>
    <t xml:space="preserve">2026-06-13</t>
  </si>
  <si>
    <t xml:space="preserve">No reply</t>
  </si>
  <si>
    <t xml:space="preserve">Wait for F/U 2</t>
  </si>
  <si>
    <t xml:space="preserve">Active RIAI member, possible pilot</t>
  </si>
  <si>
    <t xml:space="preserve">2026-06-02</t>
  </si>
  <si>
    <t xml:space="preserve">Sean Walsh</t>
  </si>
  <si>
    <t xml:space="preserve">BAM Ireland</t>
  </si>
  <si>
    <t xml:space="preserve">Pre-Con Director</t>
  </si>
  <si>
    <t xml:space="preserve">LinkedIn</t>
  </si>
  <si>
    <t xml:space="preserve">Posted about CWMF tender quality last week</t>
  </si>
  <si>
    <t xml:space="preserve">3.2 Contractor cold</t>
  </si>
  <si>
    <t xml:space="preserve">2026-06-06</t>
  </si>
  <si>
    <t xml:space="preserve">Yes</t>
  </si>
  <si>
    <t xml:space="preserve">Interested</t>
  </si>
  <si>
    <t xml:space="preserve">Book call Wed</t>
  </si>
  <si>
    <t xml:space="preserve">Wants to see Hunt sample output before committing</t>
  </si>
  <si>
    <t xml:space="preserve">John O'Brien</t>
  </si>
  <si>
    <t xml:space="preserve">John O'Brien Architects</t>
  </si>
  <si>
    <t xml:space="preserve">Principal (sole)</t>
  </si>
  <si>
    <t xml:space="preserve">Small project in Kerry posted</t>
  </si>
  <si>
    <t xml:space="preserve">8.1 Studio DM</t>
  </si>
  <si>
    <t xml:space="preserve">Send F/U 1</t>
  </si>
  <si>
    <t xml:space="preserve">Solo practitioner, perfect Studio fit</t>
  </si>
  <si>
    <t xml:space="preserve">2026-06-03</t>
  </si>
  <si>
    <t xml:space="preserve">Aisling Murphy</t>
  </si>
  <si>
    <t xml:space="preserve">HSE Estates</t>
  </si>
  <si>
    <t xml:space="preserve">Capital Programme Manager</t>
  </si>
  <si>
    <t xml:space="preserve">Connected via [INTRO]</t>
  </si>
  <si>
    <t xml:space="preserve">Tom introduced us last week</t>
  </si>
  <si>
    <t xml:space="preserve">4.3 Public-sector intro</t>
  </si>
  <si>
    <t xml:space="preserve">Pilot</t>
  </si>
  <si>
    <t xml:space="preserve">Send pilot proposal Fri</t>
  </si>
  <si>
    <t xml:space="preserve">Wants to evaluate against 3 active tenders</t>
  </si>
  <si>
    <t xml:space="preserve">2026-06-04</t>
  </si>
  <si>
    <t xml:space="preserve">Anne Doyle</t>
  </si>
  <si>
    <t xml:space="preserve">Allianz Construction PI</t>
  </si>
  <si>
    <t xml:space="preserve">Practice Lead</t>
  </si>
  <si>
    <t xml:space="preserve">Tom intro re PI broker partnership</t>
  </si>
  <si>
    <t xml:space="preserve">5.2 PI broker</t>
  </si>
  <si>
    <t xml:space="preserve">Channel meeting booked</t>
  </si>
  <si>
    <t xml:space="preserve">Meeting Mon 7am</t>
  </si>
  <si>
    <t xml:space="preserve">Allianz writes 30%+ of Irish design PI; high-leverage convo</t>
  </si>
  <si>
    <t xml:space="preserve">Templates Reference</t>
  </si>
  <si>
    <t xml:space="preserve">Quick reference — section numbers map to the Outreach Pack v0.1 document.</t>
  </si>
  <si>
    <t xml:space="preserve">§ Ref</t>
  </si>
  <si>
    <t xml:space="preserve">Template name</t>
  </si>
  <si>
    <t xml:space="preserve">Use for</t>
  </si>
  <si>
    <t xml:space="preserve">2.1</t>
  </si>
  <si>
    <t xml:space="preserve">LinkedIn Mon — The Hook</t>
  </si>
  <si>
    <t xml:space="preserve">Launch post, attention grabber (327 finding)</t>
  </si>
  <si>
    <t xml:space="preserve">2.2</t>
  </si>
  <si>
    <t xml:space="preserve">LinkedIn Tue — Designer Angle</t>
  </si>
  <si>
    <t xml:space="preserve">Speak to design partners carrying PI weight</t>
  </si>
  <si>
    <t xml:space="preserve">2.3</t>
  </si>
  <si>
    <t xml:space="preserve">LinkedIn Wed — Contractor Angle</t>
  </si>
  <si>
    <t xml:space="preserve">Pre-con directors, variation exposure</t>
  </si>
  <si>
    <t xml:space="preserve">2.4</t>
  </si>
  <si>
    <t xml:space="preserve">LinkedIn Thu — Pattern Story</t>
  </si>
  <si>
    <t xml:space="preserve">Show market insight, NBS drift exposé</t>
  </si>
  <si>
    <t xml:space="preserve">2.5</t>
  </si>
  <si>
    <t xml:space="preserve">LinkedIn Fri — Soft Ask</t>
  </si>
  <si>
    <t xml:space="preserve">Convert week's engagement</t>
  </si>
  <si>
    <t xml:space="preserve">3.1</t>
  </si>
  <si>
    <t xml:space="preserve">Cold email — Design Partner (Verify)</t>
  </si>
  <si>
    <t xml:space="preserve">RIAI partners, 12-20 yrs PQE</t>
  </si>
  <si>
    <t xml:space="preserve">3.2</t>
  </si>
  <si>
    <t xml:space="preserve">Cold email — Pre-Con Director (Hunt)</t>
  </si>
  <si>
    <t xml:space="preserve">Top-20 main contractor pre-con leads</t>
  </si>
  <si>
    <t xml:space="preserve">3.3</t>
  </si>
  <si>
    <t xml:space="preserve">Cold email — Sole Practitioner (Studio)</t>
  </si>
  <si>
    <t xml:space="preserve">Solo RIAI / engineer, €75 trial</t>
  </si>
  <si>
    <t xml:space="preserve">3.4</t>
  </si>
  <si>
    <t xml:space="preserve">Cold email — Assigned Certifier (Verify)</t>
  </si>
  <si>
    <t xml:space="preserve">Sole-practice Chartered Building Surveyors</t>
  </si>
  <si>
    <t xml:space="preserve">4.1</t>
  </si>
  <si>
    <t xml:space="preserve">Warm intro — RIAI Practice Director</t>
  </si>
  <si>
    <t xml:space="preserve">Mutual intro to RIAI</t>
  </si>
  <si>
    <t xml:space="preserve">4.2</t>
  </si>
  <si>
    <t xml:space="preserve">Warm intro — PI Broker</t>
  </si>
  <si>
    <t xml:space="preserve">Mutual intro to PI underwriter</t>
  </si>
  <si>
    <t xml:space="preserve">4.3</t>
  </si>
  <si>
    <t xml:space="preserve">Warm intro — OGP / Public sector</t>
  </si>
  <si>
    <t xml:space="preserve">Mutual intro to capital programme</t>
  </si>
  <si>
    <t xml:space="preserve">5.1</t>
  </si>
  <si>
    <t xml:space="preserve">Channel pitch — RIAI Director</t>
  </si>
  <si>
    <t xml:space="preserve">Senior partnership pitch</t>
  </si>
  <si>
    <t xml:space="preserve">Direct outreach</t>
  </si>
  <si>
    <t xml:space="preserve">5.2</t>
  </si>
  <si>
    <t xml:space="preserve">Channel pitch — PI Broker Practice Lead</t>
  </si>
  <si>
    <t xml:space="preserve">6.1</t>
  </si>
  <si>
    <t xml:space="preserve">Pilot proposal — Public-sector buyer</t>
  </si>
  <si>
    <t xml:space="preserve">12-week no-charge pilot</t>
  </si>
  <si>
    <t xml:space="preserve">Email + PDF</t>
  </si>
  <si>
    <t xml:space="preserve">7.1</t>
  </si>
  <si>
    <t xml:space="preserve">Follow-up #1 (Day 4)</t>
  </si>
  <si>
    <t xml:space="preserve">After no reply to original</t>
  </si>
  <si>
    <t xml:space="preserve">7.2</t>
  </si>
  <si>
    <t xml:space="preserve">Follow-up #2 (Day 12)</t>
  </si>
  <si>
    <t xml:space="preserve">Second nudge</t>
  </si>
  <si>
    <t xml:space="preserve">7.3</t>
  </si>
  <si>
    <t xml:space="preserve">Follow-up #3 (Day 26)</t>
  </si>
  <si>
    <t xml:space="preserve">Final close-the-loop</t>
  </si>
  <si>
    <t xml:space="preserve">7.4</t>
  </si>
  <si>
    <t xml:space="preserve">Reply — yes</t>
  </si>
  <si>
    <t xml:space="preserve">When someone replies positively</t>
  </si>
  <si>
    <t xml:space="preserve">Email</t>
  </si>
  <si>
    <t xml:space="preserve">7.5</t>
  </si>
  <si>
    <t xml:space="preserve">Reply — no</t>
  </si>
  <si>
    <t xml:space="preserve">Extract 30 seconds of feedback</t>
  </si>
  <si>
    <t xml:space="preserve">8.1</t>
  </si>
  <si>
    <t xml:space="preserve">Studio DM</t>
  </si>
  <si>
    <t xml:space="preserve">LinkedIn DM for sole practitioner</t>
  </si>
  <si>
    <t xml:space="preserve">8.2</t>
  </si>
  <si>
    <t xml:space="preserve">Studio cold email</t>
  </si>
  <si>
    <t xml:space="preserve">€75 trial framing for sole practitioner</t>
  </si>
  <si>
    <t xml:space="preserve">Weekly Review Template</t>
  </si>
  <si>
    <t xml:space="preserve">Use this every Friday afternoon. 15-minute review. Adjust the following week.</t>
  </si>
  <si>
    <t xml:space="preserve">Week ending</t>
  </si>
  <si>
    <t xml:space="preserve">[Fill in date]</t>
  </si>
  <si>
    <t xml:space="preserve">Quantitative review</t>
  </si>
  <si>
    <t xml:space="preserve">Outreach sent this week</t>
  </si>
  <si>
    <t xml:space="preserve">Replies this week</t>
  </si>
  <si>
    <t xml:space="preserve">Pilots signed</t>
  </si>
  <si>
    <t xml:space="preserve">Qualitative review (fill in)</t>
  </si>
  <si>
    <t xml:space="preserve">Which template performed best this week?</t>
  </si>
  <si>
    <t xml:space="preserve">Which channel produced the best replies?</t>
  </si>
  <si>
    <t xml:space="preserve">What objection came up most?</t>
  </si>
  <si>
    <t xml:space="preserve">What learning will change next week?</t>
  </si>
  <si>
    <t xml:space="preserve">Next week — what changes</t>
  </si>
  <si>
    <t xml:space="preserve">Templates to drop / change</t>
  </si>
  <si>
    <t xml:space="preserve">New segments to add</t>
  </si>
  <si>
    <t xml:space="preserve">Personalisation patterns to try</t>
  </si>
  <si>
    <t xml:space="preserve">Channels to lean in / dial back</t>
  </si>
  <si>
    <t xml:space="preserve">Top 50 Target List — Week 1</t>
  </si>
  <si>
    <t xml:space="preserve">Pre-built target list — populate names from RIAI directory, IEI member listings, LinkedIn searches. 10 per persona.</t>
  </si>
  <si>
    <t xml:space="preserve">#</t>
  </si>
  <si>
    <t xml:space="preserve">Firm / Body</t>
  </si>
  <si>
    <t xml:space="preserve">Name</t>
  </si>
  <si>
    <t xml:space="preserve">Role</t>
  </si>
  <si>
    <t xml:space="preserve">LinkedIn / contact</t>
  </si>
  <si>
    <t xml:space="preserve">Researched?</t>
  </si>
  <si>
    <t xml:space="preserve">Outreach plan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</si>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</sst>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E3A6E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4"/>
      <color rgb="FF0E3A6E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5A5A5A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E3A6E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8"/>
      <color rgb="FF0E3A6E"/>
      <name val="Calibri"/>
      <family val="0"/>
      <charset val="1"/>
    </font>
    <font>
      <b val="true"/>
      <sz val="13"/>
      <color rgb="FF0E3A6E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4F6F8"/>
        <bgColor rgb="FFEEF3F9"/>
      </patternFill>
    </fill>
    <fill>
      <patternFill patternType="solid">
        <fgColor rgb="FFEEF3F9"/>
        <bgColor rgb="FFF4F6F8"/>
      </patternFill>
    </fill>
    <fill>
      <patternFill patternType="solid">
        <fgColor rgb="FF0E3A6E"/>
        <bgColor rgb="FF333399"/>
      </patternFill>
    </fill>
    <fill>
      <patternFill patternType="solid">
        <fgColor rgb="FFC75300"/>
        <bgColor rgb="FF993300"/>
      </patternFill>
    </fill>
    <fill>
      <patternFill patternType="solid">
        <fgColor rgb="FF1F6B3A"/>
        <bgColor rgb="FF0F5226"/>
      </patternFill>
    </fill>
    <fill>
      <patternFill patternType="solid">
        <fgColor rgb="FF1E88E5"/>
        <bgColor rgb="FF0066CC"/>
      </patternFill>
    </fill>
    <fill>
      <patternFill patternType="solid">
        <fgColor rgb="FF5A5A5A"/>
        <bgColor rgb="FF1F6B3A"/>
      </patternFill>
    </fill>
    <fill>
      <patternFill patternType="solid">
        <fgColor rgb="FFFFF4D6"/>
        <bgColor rgb="FFF4F6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 style="thin">
        <color rgb="FFB4B4B4"/>
      </right>
      <top style="medium">
        <color rgb="FF0E3A6E"/>
      </top>
      <bottom style="medium">
        <color rgb="FF0E3A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0F5226"/>
      </font>
      <fill>
        <patternFill>
          <bgColor rgb="FFE2F0D9"/>
        </patternFill>
      </fill>
    </dxf>
    <dxf>
      <font>
        <b val="1"/>
        <color rgb="FFB00020"/>
      </font>
      <fill>
        <patternFill>
          <bgColor rgb="FFF8D7DA"/>
        </patternFill>
      </fill>
    </dxf>
    <dxf>
      <fill>
        <patternFill patternType="solid">
          <fgColor rgb="FF0E3A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5A5A5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D7DA"/>
        </patternFill>
      </fill>
    </dxf>
    <dxf>
      <fill>
        <patternFill>
          <bgColor rgb="FFF4F6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F6B3A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4D6"/>
      <rgbColor rgb="FFEEF3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E2F0D9"/>
      <rgbColor rgb="FFFFFF99"/>
      <rgbColor rgb="FF99CCFF"/>
      <rgbColor rgb="FFFF99CC"/>
      <rgbColor rgb="FFCC99FF"/>
      <rgbColor rgb="FFF8D7DA"/>
      <rgbColor rgb="FF1E88E5"/>
      <rgbColor rgb="FF33CCCC"/>
      <rgbColor rgb="FF99CC00"/>
      <rgbColor rgb="FFFFCC00"/>
      <rgbColor rgb="FFFF9900"/>
      <rgbColor rgb="FFC75300"/>
      <rgbColor rgb="FF5A5A5A"/>
      <rgbColor rgb="FF969696"/>
      <rgbColor rgb="FF0E3A6E"/>
      <rgbColor rgb="FF339966"/>
      <rgbColor rgb="FF0F5226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22"/>
    <col collapsed="false" customWidth="true" hidden="false" outlineLevel="0" max="9" min="8" style="0" width="10"/>
    <col collapsed="false" customWidth="true" hidden="false" outlineLevel="0" max="10" min="10" style="0" width="12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7.35" hidden="false" customHeight="false" outlineLevel="0" collapsed="false">
      <c r="B6" s="3" t="s">
        <v>2</v>
      </c>
      <c r="F6" s="3" t="s">
        <v>3</v>
      </c>
    </row>
    <row r="8" customFormat="false" ht="17.35" hidden="false" customHeight="false" outlineLevel="0" collapsed="false">
      <c r="B8" s="4" t="s">
        <v>4</v>
      </c>
      <c r="C8" s="5" t="n">
        <f aca="false">COUNTA(Tracker!B3:B500)</f>
        <v>5</v>
      </c>
      <c r="D8" s="6"/>
      <c r="F8" s="7" t="s">
        <v>5</v>
      </c>
      <c r="G8" s="7" t="s">
        <v>6</v>
      </c>
      <c r="H8" s="7" t="s">
        <v>7</v>
      </c>
    </row>
    <row r="9" customFormat="false" ht="17.35" hidden="false" customHeight="false" outlineLevel="0" collapsed="false">
      <c r="B9" s="4" t="s">
        <v>8</v>
      </c>
      <c r="C9" s="5" t="n">
        <f aca="false">COUNTIF(Tracker!N3:N500,"&lt;&gt;")-COUNTIF(Tracker!N3:N500,"No reply")</f>
        <v>3</v>
      </c>
      <c r="D9" s="8" t="n">
        <f aca="false">IFERROR(C9/C8, 0)</f>
        <v>0.6</v>
      </c>
      <c r="F9" s="9" t="s">
        <v>9</v>
      </c>
      <c r="G9" s="10" t="n">
        <f aca="false">COUNTIF(Tracker!C3:C500,"LinkedIn DM")</f>
        <v>1</v>
      </c>
      <c r="H9" s="11" t="n">
        <f aca="false">COUNTIFS(Tracker!C3:C500,"LinkedIn DM",Tracker!N3:N500,"&lt;&gt;"&amp;"")-COUNTIFS(Tracker!C3:C500,"LinkedIn DM",Tracker!N3:N500,"No reply")</f>
        <v>0</v>
      </c>
    </row>
    <row r="10" customFormat="false" ht="17.35" hidden="false" customHeight="false" outlineLevel="0" collapsed="false">
      <c r="B10" s="4" t="s">
        <v>10</v>
      </c>
      <c r="C10" s="5" t="n">
        <f aca="false">COUNTIF(Tracker!N3:N500,"Interested") + COUNTIF(Tracker!N3:N500,"Pilot") + COUNTIF(Tracker!N3:N500,"Customer")</f>
        <v>2</v>
      </c>
      <c r="D10" s="8" t="n">
        <f aca="false">IFERROR(C10/C9, 0)</f>
        <v>0.666666666666667</v>
      </c>
      <c r="F10" s="9" t="s">
        <v>11</v>
      </c>
      <c r="G10" s="10" t="n">
        <f aca="false">COUNTIF(Tracker!C3:C500,"Cold email")</f>
        <v>2</v>
      </c>
      <c r="H10" s="11" t="n">
        <f aca="false">COUNTIFS(Tracker!C3:C500,"Cold email",Tracker!N3:N500,"&lt;&gt;"&amp;"")-COUNTIFS(Tracker!C3:C500,"Cold email",Tracker!N3:N500,"No reply")</f>
        <v>1</v>
      </c>
    </row>
    <row r="11" customFormat="false" ht="17.35" hidden="false" customHeight="false" outlineLevel="0" collapsed="false">
      <c r="B11" s="4" t="s">
        <v>12</v>
      </c>
      <c r="C11" s="5" t="n">
        <f aca="false">COUNTIF(Tracker!N3:N500,"Pilot") + COUNTIF(Tracker!N3:N500,"Customer")</f>
        <v>1</v>
      </c>
      <c r="D11" s="8" t="n">
        <f aca="false">IFERROR(C11/C10, 0)</f>
        <v>0.5</v>
      </c>
      <c r="F11" s="9" t="s">
        <v>13</v>
      </c>
      <c r="G11" s="10" t="n">
        <f aca="false">COUNTIF(Tracker!C3:C500,"Warm intro")</f>
        <v>2</v>
      </c>
      <c r="H11" s="11" t="n">
        <f aca="false">COUNTIFS(Tracker!C3:C500,"Warm intro",Tracker!N3:N500,"&lt;&gt;"&amp;"")-COUNTIFS(Tracker!C3:C500,"Warm intro",Tracker!N3:N500,"No reply")</f>
        <v>2</v>
      </c>
    </row>
    <row r="12" customFormat="false" ht="17.35" hidden="false" customHeight="false" outlineLevel="0" collapsed="false">
      <c r="B12" s="4" t="s">
        <v>14</v>
      </c>
      <c r="C12" s="5" t="n">
        <f aca="false">COUNTIF(Tracker!N3:N500,"Customer")</f>
        <v>0</v>
      </c>
      <c r="D12" s="8" t="n">
        <f aca="false">IFERROR(C12/C11, 0)</f>
        <v>0</v>
      </c>
      <c r="F12" s="9" t="s">
        <v>15</v>
      </c>
      <c r="G12" s="10" t="n">
        <f aca="false">COUNTIF(Tracker!C3:C500,"Direct call")</f>
        <v>0</v>
      </c>
      <c r="H12" s="11" t="n">
        <f aca="false">COUNTIFS(Tracker!C3:C500,"Direct call",Tracker!N3:N500,"&lt;&gt;"&amp;"")-COUNTIFS(Tracker!C3:C500,"Direct call",Tracker!N3:N500,"No reply")</f>
        <v>0</v>
      </c>
    </row>
    <row r="13" customFormat="false" ht="15" hidden="false" customHeight="false" outlineLevel="0" collapsed="false">
      <c r="F13" s="9" t="s">
        <v>16</v>
      </c>
      <c r="G13" s="10" t="n">
        <f aca="false">COUNTIF(Tracker!C3:C500,"Event / in person")</f>
        <v>0</v>
      </c>
      <c r="H13" s="11" t="n">
        <f aca="false">COUNTIFS(Tracker!C3:C500,"Event / in person",Tracker!N3:N500,"&lt;&gt;"&amp;"")-COUNTIFS(Tracker!C3:C500,"Event / in person",Tracker!N3:N500,"No reply")</f>
        <v>0</v>
      </c>
    </row>
    <row r="14" customFormat="false" ht="15" hidden="false" customHeight="false" outlineLevel="0" collapsed="false">
      <c r="F14" s="9" t="s">
        <v>17</v>
      </c>
      <c r="G14" s="10" t="n">
        <f aca="false">COUNTIF(Tracker!C3:C500,"Webinar")</f>
        <v>0</v>
      </c>
      <c r="H14" s="11" t="n">
        <f aca="false">COUNTIFS(Tracker!C3:C500,"Webinar",Tracker!N3:N500,"&lt;&gt;"&amp;"")-COUNTIFS(Tracker!C3:C500,"Webinar",Tracker!N3:N500,"No reply")</f>
        <v>0</v>
      </c>
    </row>
    <row r="17" customFormat="false" ht="17.35" hidden="false" customHeight="false" outlineLevel="0" collapsed="false">
      <c r="B17" s="3" t="s">
        <v>18</v>
      </c>
      <c r="G17" s="3" t="s">
        <v>19</v>
      </c>
    </row>
    <row r="19" customFormat="false" ht="15" hidden="false" customHeight="false" outlineLevel="0" collapsed="false">
      <c r="B19" s="7" t="s">
        <v>20</v>
      </c>
      <c r="C19" s="7" t="s">
        <v>21</v>
      </c>
      <c r="D19" s="7" t="s">
        <v>7</v>
      </c>
      <c r="E19" s="7" t="s">
        <v>22</v>
      </c>
      <c r="G19" s="7" t="s">
        <v>23</v>
      </c>
      <c r="H19" s="7" t="s">
        <v>24</v>
      </c>
      <c r="I19" s="7" t="s">
        <v>25</v>
      </c>
      <c r="J19" s="7" t="s">
        <v>26</v>
      </c>
    </row>
    <row r="20" customFormat="false" ht="15" hidden="false" customHeight="false" outlineLevel="0" collapsed="false">
      <c r="B20" s="12" t="s">
        <v>27</v>
      </c>
      <c r="C20" s="10" t="n">
        <f aca="false">COUNTIF(Tracker!G3:G500,"Verify (designer)")</f>
        <v>1</v>
      </c>
      <c r="D20" s="11" t="n">
        <f aca="false">COUNTIFS(Tracker!G3:G500,"Verify (designer)",Tracker!N3:N500,"&lt;&gt;"&amp;"")-COUNTIFS(Tracker!G3:G500,"Verify (designer)",Tracker!N3:N500,"No reply")</f>
        <v>0</v>
      </c>
      <c r="E20" s="13" t="n">
        <f aca="false">IFERROR(D20/C20, 0)</f>
        <v>0</v>
      </c>
      <c r="G20" s="9" t="s">
        <v>28</v>
      </c>
      <c r="H20" s="10" t="n">
        <v>5</v>
      </c>
      <c r="I20" s="11" t="n">
        <f aca="false">COUNTIF(Tracker!C3:C500,"LinkedIn post")</f>
        <v>0</v>
      </c>
      <c r="J20" s="14" t="str">
        <f aca="false">IF(I20&gt;=H20,"YES","NO")</f>
        <v>NO</v>
      </c>
    </row>
    <row r="21" customFormat="false" ht="15" hidden="false" customHeight="false" outlineLevel="0" collapsed="false">
      <c r="B21" s="15" t="s">
        <v>29</v>
      </c>
      <c r="C21" s="10" t="n">
        <f aca="false">COUNTIF(Tracker!G3:G500,"Hunt (contractor)")</f>
        <v>1</v>
      </c>
      <c r="D21" s="11" t="n">
        <f aca="false">COUNTIFS(Tracker!G3:G500,"Hunt (contractor)",Tracker!N3:N500,"&lt;&gt;"&amp;"")-COUNTIFS(Tracker!G3:G500,"Hunt (contractor)",Tracker!N3:N500,"No reply")</f>
        <v>1</v>
      </c>
      <c r="E21" s="13" t="n">
        <f aca="false">IFERROR(D21/C21, 0)</f>
        <v>1</v>
      </c>
      <c r="G21" s="9" t="s">
        <v>30</v>
      </c>
      <c r="H21" s="10" t="n">
        <v>30</v>
      </c>
      <c r="I21" s="11" t="n">
        <f aca="false">COUNTIF(Tracker!C3:C500,"Cold email")</f>
        <v>2</v>
      </c>
      <c r="J21" s="14" t="str">
        <f aca="false">IF(I21&gt;=H21,"YES","NO")</f>
        <v>NO</v>
      </c>
    </row>
    <row r="22" customFormat="false" ht="15" hidden="false" customHeight="false" outlineLevel="0" collapsed="false">
      <c r="B22" s="16" t="s">
        <v>31</v>
      </c>
      <c r="C22" s="10" t="n">
        <f aca="false">COUNTIF(Tracker!G3:G500,"Studio (sole pract.)")</f>
        <v>1</v>
      </c>
      <c r="D22" s="11" t="n">
        <f aca="false">COUNTIFS(Tracker!G3:G500,"Studio (sole pract.)",Tracker!N3:N500,"&lt;&gt;"&amp;"")-COUNTIFS(Tracker!G3:G500,"Studio (sole pract.)",Tracker!N3:N500,"No reply")</f>
        <v>0</v>
      </c>
      <c r="E22" s="13" t="n">
        <f aca="false">IFERROR(D22/C22, 0)</f>
        <v>0</v>
      </c>
      <c r="G22" s="9" t="s">
        <v>32</v>
      </c>
      <c r="H22" s="10" t="n">
        <v>5</v>
      </c>
      <c r="I22" s="11" t="n">
        <f aca="false">COUNTIF(Tracker!C3:C500,"Warm intro")</f>
        <v>2</v>
      </c>
      <c r="J22" s="14" t="str">
        <f aca="false">IF(I22&gt;=H22,"YES","NO")</f>
        <v>NO</v>
      </c>
    </row>
    <row r="23" customFormat="false" ht="15" hidden="false" customHeight="false" outlineLevel="0" collapsed="false">
      <c r="B23" s="17" t="s">
        <v>33</v>
      </c>
      <c r="C23" s="10" t="n">
        <f aca="false">COUNTIF(Tracker!G3:G500,"Programme (Employer-side)")</f>
        <v>1</v>
      </c>
      <c r="D23" s="11" t="n">
        <f aca="false">COUNTIFS(Tracker!G3:G500,"Programme (Employer-side)",Tracker!N3:N500,"&lt;&gt;"&amp;"")-COUNTIFS(Tracker!G3:G500,"Programme (Employer-side)",Tracker!N3:N500,"No reply")</f>
        <v>1</v>
      </c>
      <c r="E23" s="13" t="n">
        <f aca="false">IFERROR(D23/C23, 0)</f>
        <v>1</v>
      </c>
      <c r="G23" s="9" t="s">
        <v>34</v>
      </c>
      <c r="H23" s="10" t="n">
        <v>2</v>
      </c>
      <c r="I23" s="11" t="n">
        <f aca="false">COUNTIF(Tracker!G3:G500,"Channel partner")</f>
        <v>1</v>
      </c>
      <c r="J23" s="14" t="str">
        <f aca="false">IF(I23&gt;=H23,"YES","NO")</f>
        <v>NO</v>
      </c>
    </row>
    <row r="24" customFormat="false" ht="15" hidden="false" customHeight="false" outlineLevel="0" collapsed="false">
      <c r="B24" s="18" t="s">
        <v>35</v>
      </c>
      <c r="C24" s="10" t="n">
        <f aca="false">COUNTIF(Tracker!G3:G500,"Channel partner")</f>
        <v>1</v>
      </c>
      <c r="D24" s="11" t="n">
        <f aca="false">COUNTIFS(Tracker!G3:G500,"Channel partner",Tracker!N3:N500,"&lt;&gt;"&amp;"")-COUNTIFS(Tracker!G3:G500,"Channel partner",Tracker!N3:N500,"No reply")</f>
        <v>1</v>
      </c>
      <c r="E24" s="13" t="n">
        <f aca="false">IFERROR(D24/C24, 0)</f>
        <v>1</v>
      </c>
      <c r="G24" s="9" t="s">
        <v>36</v>
      </c>
      <c r="H24" s="10" t="n">
        <v>1</v>
      </c>
      <c r="I24" s="11" t="n">
        <f aca="false">COUNTIF(Tracker!N3:N500,"Pilot proposal sent")</f>
        <v>0</v>
      </c>
      <c r="J24" s="14" t="str">
        <f aca="false">IF(I24&gt;=H24,"YES","NO")</f>
        <v>NO</v>
      </c>
    </row>
    <row r="25" customFormat="false" ht="15" hidden="false" customHeight="false" outlineLevel="0" collapsed="false">
      <c r="G25" s="9" t="s">
        <v>37</v>
      </c>
      <c r="H25" s="10" t="n">
        <v>5</v>
      </c>
      <c r="I25" s="11" t="n">
        <f aca="false">COUNTIF(Tracker!N3:N500,"Interested") + COUNTIF(Tracker!N3:N500,"Pilot")</f>
        <v>2</v>
      </c>
      <c r="J25" s="14" t="str">
        <f aca="false">IF(I25&gt;=H25,"YES","NO")</f>
        <v>NO</v>
      </c>
    </row>
  </sheetData>
  <conditionalFormatting sqref="J20:J25">
    <cfRule type="expression" priority="2" aboveAverage="0" equalAverage="0" bottom="0" percent="0" rank="0" text="" dxfId="0">
      <formula>$J20="YES"</formula>
    </cfRule>
    <cfRule type="expression" priority="3" aboveAverage="0" equalAverage="0" bottom="0" percent="0" rank="0" text="" dxfId="1">
      <formula>$J20="NO"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26"/>
    <col collapsed="false" customWidth="true" hidden="false" outlineLevel="0" max="16" min="16" style="0" width="35"/>
  </cols>
  <sheetData>
    <row r="1" customFormat="false" ht="15" hidden="false" customHeight="false" outlineLevel="0" collapsed="false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36" hidden="false" customHeight="true" outlineLevel="0" collapsed="false">
      <c r="A2" s="20" t="s">
        <v>39</v>
      </c>
      <c r="B2" s="20" t="s">
        <v>40</v>
      </c>
      <c r="C2" s="20" t="s">
        <v>5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0" t="s">
        <v>47</v>
      </c>
      <c r="K2" s="20" t="s">
        <v>48</v>
      </c>
      <c r="L2" s="20" t="s">
        <v>49</v>
      </c>
      <c r="M2" s="20" t="s">
        <v>50</v>
      </c>
      <c r="N2" s="20" t="s">
        <v>51</v>
      </c>
      <c r="O2" s="20" t="s">
        <v>52</v>
      </c>
      <c r="P2" s="20" t="s">
        <v>53</v>
      </c>
    </row>
    <row r="3" customFormat="false" ht="49.5" hidden="false" customHeight="true" outlineLevel="0" collapsed="false">
      <c r="A3" s="21" t="s">
        <v>54</v>
      </c>
      <c r="B3" s="21" t="s">
        <v>55</v>
      </c>
      <c r="C3" s="21" t="s">
        <v>11</v>
      </c>
      <c r="D3" s="21" t="s">
        <v>56</v>
      </c>
      <c r="E3" s="21" t="s">
        <v>57</v>
      </c>
      <c r="F3" s="21" t="s">
        <v>58</v>
      </c>
      <c r="G3" s="21" t="s">
        <v>27</v>
      </c>
      <c r="H3" s="21" t="s">
        <v>59</v>
      </c>
      <c r="I3" s="21" t="s">
        <v>60</v>
      </c>
      <c r="J3" s="21" t="s">
        <v>61</v>
      </c>
      <c r="K3" s="21" t="s">
        <v>62</v>
      </c>
      <c r="L3" s="21"/>
      <c r="M3" s="21" t="s">
        <v>63</v>
      </c>
      <c r="N3" s="21" t="s">
        <v>63</v>
      </c>
      <c r="O3" s="21" t="s">
        <v>64</v>
      </c>
      <c r="P3" s="21" t="s">
        <v>65</v>
      </c>
    </row>
    <row r="4" customFormat="false" ht="49.5" hidden="false" customHeight="true" outlineLevel="0" collapsed="false">
      <c r="A4" s="21" t="s">
        <v>66</v>
      </c>
      <c r="B4" s="21" t="s">
        <v>67</v>
      </c>
      <c r="C4" s="21" t="s">
        <v>11</v>
      </c>
      <c r="D4" s="21" t="s">
        <v>68</v>
      </c>
      <c r="E4" s="21" t="s">
        <v>69</v>
      </c>
      <c r="F4" s="21" t="s">
        <v>70</v>
      </c>
      <c r="G4" s="21" t="s">
        <v>29</v>
      </c>
      <c r="H4" s="21" t="s">
        <v>71</v>
      </c>
      <c r="I4" s="21" t="s">
        <v>72</v>
      </c>
      <c r="J4" s="21" t="s">
        <v>73</v>
      </c>
      <c r="K4" s="21"/>
      <c r="L4" s="21"/>
      <c r="M4" s="21" t="s">
        <v>74</v>
      </c>
      <c r="N4" s="21" t="s">
        <v>75</v>
      </c>
      <c r="O4" s="21" t="s">
        <v>76</v>
      </c>
      <c r="P4" s="21" t="s">
        <v>77</v>
      </c>
    </row>
    <row r="5" customFormat="false" ht="49.5" hidden="false" customHeight="true" outlineLevel="0" collapsed="false">
      <c r="A5" s="21" t="s">
        <v>66</v>
      </c>
      <c r="B5" s="21" t="s">
        <v>78</v>
      </c>
      <c r="C5" s="21" t="s">
        <v>9</v>
      </c>
      <c r="D5" s="21" t="s">
        <v>79</v>
      </c>
      <c r="E5" s="21" t="s">
        <v>80</v>
      </c>
      <c r="F5" s="21" t="s">
        <v>70</v>
      </c>
      <c r="G5" s="21" t="s">
        <v>31</v>
      </c>
      <c r="H5" s="21" t="s">
        <v>81</v>
      </c>
      <c r="I5" s="21" t="s">
        <v>82</v>
      </c>
      <c r="J5" s="21"/>
      <c r="K5" s="21"/>
      <c r="L5" s="21"/>
      <c r="M5" s="21" t="s">
        <v>63</v>
      </c>
      <c r="N5" s="21" t="s">
        <v>63</v>
      </c>
      <c r="O5" s="21" t="s">
        <v>83</v>
      </c>
      <c r="P5" s="21" t="s">
        <v>84</v>
      </c>
    </row>
    <row r="6" customFormat="false" ht="49.5" hidden="false" customHeight="true" outlineLevel="0" collapsed="false">
      <c r="A6" s="21" t="s">
        <v>85</v>
      </c>
      <c r="B6" s="21" t="s">
        <v>86</v>
      </c>
      <c r="C6" s="21" t="s">
        <v>13</v>
      </c>
      <c r="D6" s="21" t="s">
        <v>87</v>
      </c>
      <c r="E6" s="21" t="s">
        <v>88</v>
      </c>
      <c r="F6" s="21" t="s">
        <v>89</v>
      </c>
      <c r="G6" s="21" t="s">
        <v>33</v>
      </c>
      <c r="H6" s="21" t="s">
        <v>90</v>
      </c>
      <c r="I6" s="21" t="s">
        <v>91</v>
      </c>
      <c r="J6" s="21"/>
      <c r="K6" s="21"/>
      <c r="L6" s="21"/>
      <c r="M6" s="21" t="s">
        <v>74</v>
      </c>
      <c r="N6" s="21" t="s">
        <v>92</v>
      </c>
      <c r="O6" s="21" t="s">
        <v>93</v>
      </c>
      <c r="P6" s="21" t="s">
        <v>94</v>
      </c>
    </row>
    <row r="7" customFormat="false" ht="49.5" hidden="false" customHeight="true" outlineLevel="0" collapsed="false">
      <c r="A7" s="21" t="s">
        <v>95</v>
      </c>
      <c r="B7" s="21" t="s">
        <v>96</v>
      </c>
      <c r="C7" s="21" t="s">
        <v>13</v>
      </c>
      <c r="D7" s="21" t="s">
        <v>97</v>
      </c>
      <c r="E7" s="21" t="s">
        <v>98</v>
      </c>
      <c r="F7" s="21" t="s">
        <v>89</v>
      </c>
      <c r="G7" s="21" t="s">
        <v>35</v>
      </c>
      <c r="H7" s="21" t="s">
        <v>99</v>
      </c>
      <c r="I7" s="21" t="s">
        <v>100</v>
      </c>
      <c r="J7" s="21"/>
      <c r="K7" s="21"/>
      <c r="L7" s="21"/>
      <c r="M7" s="21" t="s">
        <v>74</v>
      </c>
      <c r="N7" s="21" t="s">
        <v>101</v>
      </c>
      <c r="O7" s="21" t="s">
        <v>102</v>
      </c>
      <c r="P7" s="21" t="s">
        <v>103</v>
      </c>
    </row>
    <row r="8" customFormat="false" ht="36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customFormat="false" ht="36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customFormat="false" ht="36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customFormat="false" ht="36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customFormat="false" ht="36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customFormat="false" ht="36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customFormat="false" ht="36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36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customFormat="false" ht="36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customFormat="false" ht="36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customFormat="false" ht="36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customFormat="false" ht="36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customFormat="false" ht="36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customFormat="false" ht="36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customFormat="false" ht="36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customFormat="false" ht="36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customFormat="false" ht="36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customFormat="false" ht="36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customFormat="false" ht="36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customFormat="false" ht="36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customFormat="false" ht="36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customFormat="false" ht="36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customFormat="false" ht="36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customFormat="false" ht="36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customFormat="false" ht="36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customFormat="false" ht="36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customFormat="false" ht="36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customFormat="false" ht="36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customFormat="false" ht="36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customFormat="false" ht="36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customFormat="false" ht="36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customFormat="false" ht="36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customFormat="false" ht="36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customFormat="false" ht="36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customFormat="false" ht="36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customFormat="false" ht="36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customFormat="false" ht="36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customFormat="false" ht="36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customFormat="false" ht="36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customFormat="false" ht="36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customFormat="false" ht="36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customFormat="false" ht="36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customFormat="false" ht="36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customFormat="false" ht="36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customFormat="false" ht="36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customFormat="false" ht="36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customFormat="false" ht="36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customFormat="false" ht="36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customFormat="false" ht="36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customFormat="false" ht="36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customFormat="false" ht="36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customFormat="false" ht="36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customFormat="false" ht="36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customFormat="false" ht="36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customFormat="false" ht="36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customFormat="false" ht="36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customFormat="false" ht="36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customFormat="false" ht="36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customFormat="false" ht="36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customFormat="false" ht="36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customFormat="false" ht="36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customFormat="false" ht="36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customFormat="false" ht="36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customFormat="false" ht="36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customFormat="false" ht="36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customFormat="false" ht="36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customFormat="false" ht="36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customFormat="false" ht="36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customFormat="false" ht="36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customFormat="false" ht="36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customFormat="false" ht="36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customFormat="false" ht="36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customFormat="false" ht="36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customFormat="false" ht="36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customFormat="false" ht="36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customFormat="false" ht="36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customFormat="false" ht="36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customFormat="false" ht="36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customFormat="false" ht="36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customFormat="false" ht="36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customFormat="false" ht="36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customFormat="false" ht="36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customFormat="false" ht="36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customFormat="false" ht="36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customFormat="false" ht="36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customFormat="false" ht="36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customFormat="false" ht="36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customFormat="false" ht="36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customFormat="false" ht="36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customFormat="false" ht="36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customFormat="false" ht="36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customFormat="false" ht="36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</sheetData>
  <autoFilter ref="A2:P500"/>
  <mergeCells count="1">
    <mergeCell ref="A1:P1"/>
  </mergeCells>
  <conditionalFormatting sqref="N3:N500">
    <cfRule type="expression" priority="2" aboveAverage="0" equalAverage="0" bottom="0" percent="0" rank="0" text="" dxfId="9">
      <formula>OR($N3="Interested",$N3="Pilot",$N3="Customer",$N3="Call booked",$N3="Channel meeting booked")</formula>
    </cfRule>
    <cfRule type="expression" priority="3" aboveAverage="0" equalAverage="0" bottom="0" percent="0" rank="0" text="" dxfId="10">
      <formula>OR($N3="Polite no",$N3="Lost",$N3="Wrong person")</formula>
    </cfRule>
    <cfRule type="expression" priority="4" aboveAverage="0" equalAverage="0" bottom="0" percent="0" rank="0" text="" dxfId="11">
      <formula>$N3="No reply"</formula>
    </cfRule>
  </conditionalFormatting>
  <dataValidations count="5">
    <dataValidation allowBlank="true" errorStyle="stop" operator="between" showDropDown="false" showErrorMessage="false" showInputMessage="false" sqref="C3:C500" type="list">
      <formula1>"LinkedIn post,LinkedIn DM,Cold email,Warm intro,Direct call,Event / in person,Webinar"</formula1>
      <formula2>0</formula2>
    </dataValidation>
    <dataValidation allowBlank="true" errorStyle="stop" operator="between" showDropDown="false" showErrorMessage="false" showInputMessage="false" sqref="G3:G500" type="list">
      <formula1>"Verify (designer),Hunt (contractor),Studio (sole pract.),Programme (Employer-side),Channel partner"</formula1>
      <formula2>0</formula2>
    </dataValidation>
    <dataValidation allowBlank="true" errorStyle="stop" operator="between" showDropDown="false" showErrorMessage="false" showInputMessage="false" sqref="I3:I500" type="list">
      <formula1>"2.1 LinkedIn Mon hook,2.2 LinkedIn Tue designer,2.3 LinkedIn Wed contractor,2.4 LinkedIn Thu pattern,2.5 LinkedIn Fri ask,3.1 Designer cold,3.2 Contractor cold,3.3 Sole practitioner,3.4 Assigned Certifier,4.1 RIAI intro,4.2 PI broker intro,4.3 Public-sect"</formula1>
      <formula2>0</formula2>
    </dataValidation>
    <dataValidation allowBlank="true" errorStyle="stop" operator="between" showDropDown="false" showErrorMessage="false" showInputMessage="false" sqref="M3:M500" type="list">
      <formula1>"Yes,No,No reply,Auto-reply,Bounced"</formula1>
      <formula2>0</formula2>
    </dataValidation>
    <dataValidation allowBlank="true" errorStyle="stop" operator="between" showDropDown="false" showErrorMessage="false" showInputMessage="false" sqref="N3:N500" type="list">
      <formula1>"No reply,Polite no,Wrong person,Interested,Call booked,Pilot,Pilot proposal sent,Customer,Channel meeting booked,Lost,Defer to next quarter"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18"/>
  </cols>
  <sheetData>
    <row r="2" customFormat="false" ht="22.05" hidden="false" customHeight="false" outlineLevel="0" collapsed="false">
      <c r="B2" s="23" t="s">
        <v>104</v>
      </c>
    </row>
    <row r="3" customFormat="false" ht="15" hidden="false" customHeight="false" outlineLevel="0" collapsed="false">
      <c r="B3" s="2" t="s">
        <v>105</v>
      </c>
    </row>
    <row r="5" customFormat="false" ht="27.75" hidden="false" customHeight="true" outlineLevel="0" collapsed="false">
      <c r="B5" s="24" t="s">
        <v>106</v>
      </c>
      <c r="C5" s="24" t="s">
        <v>107</v>
      </c>
      <c r="D5" s="24" t="s">
        <v>108</v>
      </c>
      <c r="E5" s="24" t="s">
        <v>5</v>
      </c>
    </row>
    <row r="6" customFormat="false" ht="15" hidden="false" customHeight="false" outlineLevel="0" collapsed="false">
      <c r="B6" s="25" t="s">
        <v>109</v>
      </c>
      <c r="C6" s="26" t="s">
        <v>110</v>
      </c>
      <c r="D6" s="26" t="s">
        <v>111</v>
      </c>
      <c r="E6" s="26" t="s">
        <v>70</v>
      </c>
    </row>
    <row r="7" customFormat="false" ht="15" hidden="false" customHeight="false" outlineLevel="0" collapsed="false">
      <c r="B7" s="25" t="s">
        <v>112</v>
      </c>
      <c r="C7" s="26" t="s">
        <v>113</v>
      </c>
      <c r="D7" s="26" t="s">
        <v>114</v>
      </c>
      <c r="E7" s="26" t="s">
        <v>70</v>
      </c>
    </row>
    <row r="8" customFormat="false" ht="15" hidden="false" customHeight="false" outlineLevel="0" collapsed="false">
      <c r="B8" s="25" t="s">
        <v>115</v>
      </c>
      <c r="C8" s="26" t="s">
        <v>116</v>
      </c>
      <c r="D8" s="26" t="s">
        <v>117</v>
      </c>
      <c r="E8" s="26" t="s">
        <v>70</v>
      </c>
    </row>
    <row r="9" customFormat="false" ht="15" hidden="false" customHeight="false" outlineLevel="0" collapsed="false">
      <c r="B9" s="25" t="s">
        <v>118</v>
      </c>
      <c r="C9" s="26" t="s">
        <v>119</v>
      </c>
      <c r="D9" s="26" t="s">
        <v>120</v>
      </c>
      <c r="E9" s="26" t="s">
        <v>70</v>
      </c>
    </row>
    <row r="10" customFormat="false" ht="15" hidden="false" customHeight="false" outlineLevel="0" collapsed="false">
      <c r="B10" s="25" t="s">
        <v>121</v>
      </c>
      <c r="C10" s="26" t="s">
        <v>122</v>
      </c>
      <c r="D10" s="26" t="s">
        <v>123</v>
      </c>
      <c r="E10" s="26" t="s">
        <v>70</v>
      </c>
    </row>
    <row r="11" customFormat="false" ht="15" hidden="false" customHeight="false" outlineLevel="0" collapsed="false">
      <c r="B11" s="25" t="s">
        <v>124</v>
      </c>
      <c r="C11" s="26" t="s">
        <v>125</v>
      </c>
      <c r="D11" s="26" t="s">
        <v>126</v>
      </c>
      <c r="E11" s="26" t="s">
        <v>11</v>
      </c>
    </row>
    <row r="12" customFormat="false" ht="15" hidden="false" customHeight="false" outlineLevel="0" collapsed="false">
      <c r="B12" s="25" t="s">
        <v>127</v>
      </c>
      <c r="C12" s="26" t="s">
        <v>128</v>
      </c>
      <c r="D12" s="26" t="s">
        <v>129</v>
      </c>
      <c r="E12" s="26" t="s">
        <v>11</v>
      </c>
    </row>
    <row r="13" customFormat="false" ht="15" hidden="false" customHeight="false" outlineLevel="0" collapsed="false">
      <c r="B13" s="25" t="s">
        <v>130</v>
      </c>
      <c r="C13" s="26" t="s">
        <v>131</v>
      </c>
      <c r="D13" s="26" t="s">
        <v>132</v>
      </c>
      <c r="E13" s="26" t="s">
        <v>11</v>
      </c>
    </row>
    <row r="14" customFormat="false" ht="15" hidden="false" customHeight="false" outlineLevel="0" collapsed="false">
      <c r="B14" s="25" t="s">
        <v>133</v>
      </c>
      <c r="C14" s="26" t="s">
        <v>134</v>
      </c>
      <c r="D14" s="26" t="s">
        <v>135</v>
      </c>
      <c r="E14" s="26" t="s">
        <v>11</v>
      </c>
    </row>
    <row r="15" customFormat="false" ht="15" hidden="false" customHeight="false" outlineLevel="0" collapsed="false">
      <c r="B15" s="25" t="s">
        <v>136</v>
      </c>
      <c r="C15" s="26" t="s">
        <v>137</v>
      </c>
      <c r="D15" s="26" t="s">
        <v>138</v>
      </c>
      <c r="E15" s="26" t="s">
        <v>13</v>
      </c>
    </row>
    <row r="16" customFormat="false" ht="15" hidden="false" customHeight="false" outlineLevel="0" collapsed="false">
      <c r="B16" s="25" t="s">
        <v>139</v>
      </c>
      <c r="C16" s="26" t="s">
        <v>140</v>
      </c>
      <c r="D16" s="26" t="s">
        <v>141</v>
      </c>
      <c r="E16" s="26" t="s">
        <v>13</v>
      </c>
    </row>
    <row r="17" customFormat="false" ht="15" hidden="false" customHeight="false" outlineLevel="0" collapsed="false">
      <c r="B17" s="25" t="s">
        <v>142</v>
      </c>
      <c r="C17" s="26" t="s">
        <v>143</v>
      </c>
      <c r="D17" s="26" t="s">
        <v>144</v>
      </c>
      <c r="E17" s="26" t="s">
        <v>13</v>
      </c>
    </row>
    <row r="18" customFormat="false" ht="15" hidden="false" customHeight="false" outlineLevel="0" collapsed="false">
      <c r="B18" s="25" t="s">
        <v>145</v>
      </c>
      <c r="C18" s="26" t="s">
        <v>146</v>
      </c>
      <c r="D18" s="26" t="s">
        <v>147</v>
      </c>
      <c r="E18" s="26" t="s">
        <v>148</v>
      </c>
    </row>
    <row r="19" customFormat="false" ht="15" hidden="false" customHeight="false" outlineLevel="0" collapsed="false">
      <c r="B19" s="25" t="s">
        <v>149</v>
      </c>
      <c r="C19" s="26" t="s">
        <v>150</v>
      </c>
      <c r="D19" s="26" t="s">
        <v>147</v>
      </c>
      <c r="E19" s="26" t="s">
        <v>148</v>
      </c>
    </row>
    <row r="20" customFormat="false" ht="15" hidden="false" customHeight="false" outlineLevel="0" collapsed="false">
      <c r="B20" s="25" t="s">
        <v>151</v>
      </c>
      <c r="C20" s="26" t="s">
        <v>152</v>
      </c>
      <c r="D20" s="26" t="s">
        <v>153</v>
      </c>
      <c r="E20" s="26" t="s">
        <v>154</v>
      </c>
    </row>
    <row r="21" customFormat="false" ht="15" hidden="false" customHeight="false" outlineLevel="0" collapsed="false">
      <c r="B21" s="25" t="s">
        <v>155</v>
      </c>
      <c r="C21" s="26" t="s">
        <v>156</v>
      </c>
      <c r="D21" s="26" t="s">
        <v>157</v>
      </c>
      <c r="E21" s="26" t="s">
        <v>11</v>
      </c>
    </row>
    <row r="22" customFormat="false" ht="15" hidden="false" customHeight="false" outlineLevel="0" collapsed="false">
      <c r="B22" s="25" t="s">
        <v>158</v>
      </c>
      <c r="C22" s="26" t="s">
        <v>159</v>
      </c>
      <c r="D22" s="26" t="s">
        <v>160</v>
      </c>
      <c r="E22" s="26" t="s">
        <v>11</v>
      </c>
    </row>
    <row r="23" customFormat="false" ht="15" hidden="false" customHeight="false" outlineLevel="0" collapsed="false">
      <c r="B23" s="25" t="s">
        <v>161</v>
      </c>
      <c r="C23" s="26" t="s">
        <v>162</v>
      </c>
      <c r="D23" s="26" t="s">
        <v>163</v>
      </c>
      <c r="E23" s="26" t="s">
        <v>11</v>
      </c>
    </row>
    <row r="24" customFormat="false" ht="15" hidden="false" customHeight="false" outlineLevel="0" collapsed="false">
      <c r="B24" s="25" t="s">
        <v>164</v>
      </c>
      <c r="C24" s="26" t="s">
        <v>165</v>
      </c>
      <c r="D24" s="26" t="s">
        <v>166</v>
      </c>
      <c r="E24" s="26" t="s">
        <v>167</v>
      </c>
    </row>
    <row r="25" customFormat="false" ht="15" hidden="false" customHeight="false" outlineLevel="0" collapsed="false">
      <c r="B25" s="25" t="s">
        <v>168</v>
      </c>
      <c r="C25" s="26" t="s">
        <v>169</v>
      </c>
      <c r="D25" s="26" t="s">
        <v>170</v>
      </c>
      <c r="E25" s="26" t="s">
        <v>167</v>
      </c>
    </row>
    <row r="26" customFormat="false" ht="15" hidden="false" customHeight="false" outlineLevel="0" collapsed="false">
      <c r="B26" s="25" t="s">
        <v>171</v>
      </c>
      <c r="C26" s="26" t="s">
        <v>172</v>
      </c>
      <c r="D26" s="26" t="s">
        <v>173</v>
      </c>
      <c r="E26" s="26" t="s">
        <v>9</v>
      </c>
    </row>
    <row r="27" customFormat="false" ht="15" hidden="false" customHeight="false" outlineLevel="0" collapsed="false">
      <c r="B27" s="25" t="s">
        <v>174</v>
      </c>
      <c r="C27" s="26" t="s">
        <v>175</v>
      </c>
      <c r="D27" s="26" t="s">
        <v>176</v>
      </c>
      <c r="E27" s="2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7" min="4" style="0" width="10"/>
  </cols>
  <sheetData>
    <row r="2" customFormat="false" ht="22.05" hidden="false" customHeight="false" outlineLevel="0" collapsed="false">
      <c r="B2" s="23" t="s">
        <v>177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true" outlineLevel="0" collapsed="false">
      <c r="B5" s="27" t="s">
        <v>179</v>
      </c>
      <c r="C5" s="28" t="s">
        <v>180</v>
      </c>
      <c r="D5" s="28"/>
      <c r="E5" s="28"/>
      <c r="F5" s="28"/>
    </row>
    <row r="7" customFormat="false" ht="16.15" hidden="false" customHeight="false" outlineLevel="0" collapsed="false">
      <c r="B7" s="29" t="s">
        <v>181</v>
      </c>
      <c r="C7" s="29"/>
      <c r="D7" s="29"/>
    </row>
    <row r="8" customFormat="false" ht="15" hidden="false" customHeight="false" outlineLevel="0" collapsed="false">
      <c r="B8" s="27" t="s">
        <v>182</v>
      </c>
      <c r="C8" s="30" t="n">
        <f aca="false">Dashboard!C8</f>
        <v>5</v>
      </c>
      <c r="D8" s="30"/>
      <c r="E8" s="30"/>
      <c r="F8" s="30"/>
    </row>
    <row r="9" customFormat="false" ht="15" hidden="false" customHeight="false" outlineLevel="0" collapsed="false">
      <c r="B9" s="27" t="s">
        <v>183</v>
      </c>
      <c r="C9" s="30" t="n">
        <f aca="false">Dashboard!C9</f>
        <v>3</v>
      </c>
      <c r="D9" s="30"/>
      <c r="E9" s="30"/>
      <c r="F9" s="30"/>
    </row>
    <row r="10" customFormat="false" ht="15" hidden="false" customHeight="false" outlineLevel="0" collapsed="false">
      <c r="B10" s="27" t="s">
        <v>37</v>
      </c>
      <c r="C10" s="30" t="n">
        <f aca="false">Dashboard!C10</f>
        <v>2</v>
      </c>
      <c r="D10" s="30"/>
      <c r="E10" s="30"/>
      <c r="F10" s="30"/>
    </row>
    <row r="11" customFormat="false" ht="15" hidden="false" customHeight="false" outlineLevel="0" collapsed="false">
      <c r="B11" s="27" t="s">
        <v>184</v>
      </c>
      <c r="C11" s="30" t="n">
        <f aca="false">Dashboard!C11</f>
        <v>1</v>
      </c>
      <c r="D11" s="30"/>
      <c r="E11" s="30"/>
      <c r="F11" s="30"/>
    </row>
    <row r="13" customFormat="false" ht="16.15" hidden="false" customHeight="false" outlineLevel="0" collapsed="false">
      <c r="B13" s="29" t="s">
        <v>185</v>
      </c>
      <c r="C13" s="29"/>
      <c r="D13" s="29"/>
    </row>
    <row r="14" customFormat="false" ht="15" hidden="false" customHeight="false" outlineLevel="0" collapsed="false">
      <c r="B14" s="27" t="s">
        <v>186</v>
      </c>
      <c r="C14" s="28"/>
      <c r="D14" s="28"/>
      <c r="E14" s="28"/>
      <c r="F14" s="28"/>
    </row>
    <row r="15" customFormat="false" ht="15" hidden="false" customHeight="false" outlineLevel="0" collapsed="false">
      <c r="B15" s="27" t="s">
        <v>187</v>
      </c>
      <c r="C15" s="28"/>
      <c r="D15" s="28"/>
      <c r="E15" s="28"/>
      <c r="F15" s="28"/>
    </row>
    <row r="16" customFormat="false" ht="15" hidden="false" customHeight="false" outlineLevel="0" collapsed="false">
      <c r="B16" s="27" t="s">
        <v>188</v>
      </c>
      <c r="C16" s="28"/>
      <c r="D16" s="28"/>
      <c r="E16" s="28"/>
      <c r="F16" s="28"/>
    </row>
    <row r="17" customFormat="false" ht="15" hidden="false" customHeight="false" outlineLevel="0" collapsed="false">
      <c r="B17" s="27" t="s">
        <v>189</v>
      </c>
      <c r="C17" s="28"/>
      <c r="D17" s="28"/>
      <c r="E17" s="28"/>
      <c r="F17" s="28"/>
    </row>
    <row r="19" customFormat="false" ht="16.15" hidden="false" customHeight="false" outlineLevel="0" collapsed="false">
      <c r="B19" s="29" t="s">
        <v>190</v>
      </c>
      <c r="C19" s="29"/>
      <c r="D19" s="29"/>
    </row>
    <row r="20" customFormat="false" ht="15" hidden="false" customHeight="false" outlineLevel="0" collapsed="false">
      <c r="B20" s="27" t="s">
        <v>191</v>
      </c>
      <c r="C20" s="28"/>
      <c r="D20" s="28"/>
      <c r="E20" s="28"/>
      <c r="F20" s="28"/>
    </row>
    <row r="21" customFormat="false" ht="15" hidden="false" customHeight="false" outlineLevel="0" collapsed="false">
      <c r="B21" s="27" t="s">
        <v>192</v>
      </c>
      <c r="C21" s="28"/>
      <c r="D21" s="28"/>
      <c r="E21" s="28"/>
      <c r="F21" s="28"/>
    </row>
    <row r="22" customFormat="false" ht="15" hidden="false" customHeight="false" outlineLevel="0" collapsed="false">
      <c r="B22" s="27" t="s">
        <v>193</v>
      </c>
      <c r="C22" s="28"/>
      <c r="D22" s="28"/>
      <c r="E22" s="28"/>
      <c r="F22" s="28"/>
    </row>
    <row r="23" customFormat="false" ht="15" hidden="false" customHeight="false" outlineLevel="0" collapsed="false">
      <c r="B23" s="27" t="s">
        <v>194</v>
      </c>
      <c r="C23" s="28"/>
      <c r="D23" s="28"/>
      <c r="E23" s="28"/>
      <c r="F23" s="28"/>
    </row>
  </sheetData>
  <mergeCells count="16">
    <mergeCell ref="C5:F5"/>
    <mergeCell ref="B7:D7"/>
    <mergeCell ref="C8:F8"/>
    <mergeCell ref="C9:F9"/>
    <mergeCell ref="C10:F10"/>
    <mergeCell ref="C11:F11"/>
    <mergeCell ref="B13:D13"/>
    <mergeCell ref="C14:F14"/>
    <mergeCell ref="C15:F15"/>
    <mergeCell ref="C16:F16"/>
    <mergeCell ref="C17:F17"/>
    <mergeCell ref="B19:D19"/>
    <mergeCell ref="C20:F20"/>
    <mergeCell ref="C21:F21"/>
    <mergeCell ref="C22:F22"/>
    <mergeCell ref="C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3" style="0" width="5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8"/>
  </cols>
  <sheetData>
    <row r="2" customFormat="false" ht="22.05" hidden="false" customHeight="false" outlineLevel="0" collapsed="false">
      <c r="B2" s="23" t="s">
        <v>195</v>
      </c>
    </row>
    <row r="3" customFormat="false" ht="15" hidden="false" customHeight="false" outlineLevel="0" collapsed="false">
      <c r="B3" s="2" t="s">
        <v>196</v>
      </c>
    </row>
    <row r="5" customFormat="false" ht="15" hidden="false" customHeight="false" outlineLevel="0" collapsed="false">
      <c r="B5" s="24" t="s">
        <v>197</v>
      </c>
      <c r="C5" s="24" t="s">
        <v>20</v>
      </c>
      <c r="D5" s="24" t="s">
        <v>198</v>
      </c>
      <c r="E5" s="24" t="s">
        <v>199</v>
      </c>
      <c r="F5" s="24" t="s">
        <v>200</v>
      </c>
      <c r="G5" s="24" t="s">
        <v>201</v>
      </c>
      <c r="H5" s="24" t="s">
        <v>202</v>
      </c>
      <c r="I5" s="24" t="s">
        <v>203</v>
      </c>
      <c r="J5" s="24" t="s">
        <v>204</v>
      </c>
    </row>
    <row r="6" customFormat="false" ht="27.75" hidden="false" customHeight="true" outlineLevel="0" collapsed="false">
      <c r="B6" s="11" t="n">
        <v>1</v>
      </c>
      <c r="C6" s="31" t="s">
        <v>27</v>
      </c>
      <c r="D6" s="32"/>
      <c r="E6" s="32"/>
      <c r="F6" s="32"/>
      <c r="G6" s="32"/>
      <c r="H6" s="32"/>
      <c r="I6" s="32"/>
      <c r="J6" s="32"/>
    </row>
    <row r="7" customFormat="false" ht="27.75" hidden="false" customHeight="true" outlineLevel="0" collapsed="false">
      <c r="B7" s="11" t="n">
        <v>2</v>
      </c>
      <c r="C7" s="31" t="s">
        <v>27</v>
      </c>
      <c r="D7" s="32"/>
      <c r="E7" s="32"/>
      <c r="F7" s="32"/>
      <c r="G7" s="32"/>
      <c r="H7" s="32"/>
      <c r="I7" s="32"/>
      <c r="J7" s="32"/>
    </row>
    <row r="8" customFormat="false" ht="27.75" hidden="false" customHeight="true" outlineLevel="0" collapsed="false">
      <c r="B8" s="11" t="n">
        <v>3</v>
      </c>
      <c r="C8" s="31" t="s">
        <v>27</v>
      </c>
      <c r="D8" s="32"/>
      <c r="E8" s="32"/>
      <c r="F8" s="32"/>
      <c r="G8" s="32"/>
      <c r="H8" s="32"/>
      <c r="I8" s="32"/>
      <c r="J8" s="32"/>
    </row>
    <row r="9" customFormat="false" ht="27.75" hidden="false" customHeight="true" outlineLevel="0" collapsed="false">
      <c r="B9" s="11" t="n">
        <v>4</v>
      </c>
      <c r="C9" s="31" t="s">
        <v>27</v>
      </c>
      <c r="D9" s="32"/>
      <c r="E9" s="32"/>
      <c r="F9" s="32"/>
      <c r="G9" s="32"/>
      <c r="H9" s="32"/>
      <c r="I9" s="32"/>
      <c r="J9" s="32"/>
    </row>
    <row r="10" customFormat="false" ht="27.75" hidden="false" customHeight="true" outlineLevel="0" collapsed="false">
      <c r="B10" s="11" t="n">
        <v>5</v>
      </c>
      <c r="C10" s="31" t="s">
        <v>27</v>
      </c>
      <c r="D10" s="32"/>
      <c r="E10" s="32"/>
      <c r="F10" s="32"/>
      <c r="G10" s="32"/>
      <c r="H10" s="32"/>
      <c r="I10" s="32"/>
      <c r="J10" s="32"/>
    </row>
    <row r="11" customFormat="false" ht="27.75" hidden="false" customHeight="true" outlineLevel="0" collapsed="false">
      <c r="B11" s="11" t="n">
        <v>6</v>
      </c>
      <c r="C11" s="31" t="s">
        <v>27</v>
      </c>
      <c r="D11" s="32"/>
      <c r="E11" s="32"/>
      <c r="F11" s="32"/>
      <c r="G11" s="32"/>
      <c r="H11" s="32"/>
      <c r="I11" s="32"/>
      <c r="J11" s="32"/>
    </row>
    <row r="12" customFormat="false" ht="27.75" hidden="false" customHeight="true" outlineLevel="0" collapsed="false">
      <c r="B12" s="11" t="n">
        <v>7</v>
      </c>
      <c r="C12" s="31" t="s">
        <v>27</v>
      </c>
      <c r="D12" s="32"/>
      <c r="E12" s="32"/>
      <c r="F12" s="32"/>
      <c r="G12" s="32"/>
      <c r="H12" s="32"/>
      <c r="I12" s="32"/>
      <c r="J12" s="32"/>
    </row>
    <row r="13" customFormat="false" ht="27.75" hidden="false" customHeight="true" outlineLevel="0" collapsed="false">
      <c r="B13" s="11" t="n">
        <v>8</v>
      </c>
      <c r="C13" s="31" t="s">
        <v>27</v>
      </c>
      <c r="D13" s="32"/>
      <c r="E13" s="32"/>
      <c r="F13" s="32"/>
      <c r="G13" s="32"/>
      <c r="H13" s="32"/>
      <c r="I13" s="32"/>
      <c r="J13" s="32"/>
    </row>
    <row r="14" customFormat="false" ht="27.75" hidden="false" customHeight="true" outlineLevel="0" collapsed="false">
      <c r="B14" s="11" t="n">
        <v>9</v>
      </c>
      <c r="C14" s="31" t="s">
        <v>27</v>
      </c>
      <c r="D14" s="32"/>
      <c r="E14" s="32"/>
      <c r="F14" s="32"/>
      <c r="G14" s="32"/>
      <c r="H14" s="32"/>
      <c r="I14" s="32"/>
      <c r="J14" s="32"/>
    </row>
    <row r="15" customFormat="false" ht="27.75" hidden="false" customHeight="true" outlineLevel="0" collapsed="false">
      <c r="B15" s="11" t="n">
        <v>10</v>
      </c>
      <c r="C15" s="31" t="s">
        <v>27</v>
      </c>
      <c r="D15" s="32"/>
      <c r="E15" s="32"/>
      <c r="F15" s="32"/>
      <c r="G15" s="32"/>
      <c r="H15" s="32"/>
      <c r="I15" s="32"/>
      <c r="J15" s="32"/>
    </row>
    <row r="16" customFormat="false" ht="27.75" hidden="false" customHeight="true" outlineLevel="0" collapsed="false">
      <c r="B16" s="11" t="n">
        <v>11</v>
      </c>
      <c r="C16" s="31" t="s">
        <v>29</v>
      </c>
      <c r="D16" s="32"/>
      <c r="E16" s="32"/>
      <c r="F16" s="32"/>
      <c r="G16" s="32"/>
      <c r="H16" s="32"/>
      <c r="I16" s="32"/>
      <c r="J16" s="32"/>
    </row>
    <row r="17" customFormat="false" ht="27.75" hidden="false" customHeight="true" outlineLevel="0" collapsed="false">
      <c r="B17" s="11" t="n">
        <v>12</v>
      </c>
      <c r="C17" s="31" t="s">
        <v>29</v>
      </c>
      <c r="D17" s="32"/>
      <c r="E17" s="32"/>
      <c r="F17" s="32"/>
      <c r="G17" s="32"/>
      <c r="H17" s="32"/>
      <c r="I17" s="32"/>
      <c r="J17" s="32"/>
    </row>
    <row r="18" customFormat="false" ht="27.75" hidden="false" customHeight="true" outlineLevel="0" collapsed="false">
      <c r="B18" s="11" t="n">
        <v>13</v>
      </c>
      <c r="C18" s="31" t="s">
        <v>29</v>
      </c>
      <c r="D18" s="32"/>
      <c r="E18" s="32"/>
      <c r="F18" s="32"/>
      <c r="G18" s="32"/>
      <c r="H18" s="32"/>
      <c r="I18" s="32"/>
      <c r="J18" s="32"/>
    </row>
    <row r="19" customFormat="false" ht="27.75" hidden="false" customHeight="true" outlineLevel="0" collapsed="false">
      <c r="B19" s="11" t="n">
        <v>14</v>
      </c>
      <c r="C19" s="31" t="s">
        <v>29</v>
      </c>
      <c r="D19" s="32"/>
      <c r="E19" s="32"/>
      <c r="F19" s="32"/>
      <c r="G19" s="32"/>
      <c r="H19" s="32"/>
      <c r="I19" s="32"/>
      <c r="J19" s="32"/>
    </row>
    <row r="20" customFormat="false" ht="27.75" hidden="false" customHeight="true" outlineLevel="0" collapsed="false">
      <c r="B20" s="11" t="n">
        <v>15</v>
      </c>
      <c r="C20" s="31" t="s">
        <v>29</v>
      </c>
      <c r="D20" s="32"/>
      <c r="E20" s="32"/>
      <c r="F20" s="32"/>
      <c r="G20" s="32"/>
      <c r="H20" s="32"/>
      <c r="I20" s="32"/>
      <c r="J20" s="32"/>
    </row>
    <row r="21" customFormat="false" ht="27.75" hidden="false" customHeight="true" outlineLevel="0" collapsed="false">
      <c r="B21" s="11" t="n">
        <v>16</v>
      </c>
      <c r="C21" s="31" t="s">
        <v>29</v>
      </c>
      <c r="D21" s="32"/>
      <c r="E21" s="32"/>
      <c r="F21" s="32"/>
      <c r="G21" s="32"/>
      <c r="H21" s="32"/>
      <c r="I21" s="32"/>
      <c r="J21" s="32"/>
    </row>
    <row r="22" customFormat="false" ht="27.75" hidden="false" customHeight="true" outlineLevel="0" collapsed="false">
      <c r="B22" s="11" t="n">
        <v>17</v>
      </c>
      <c r="C22" s="31" t="s">
        <v>29</v>
      </c>
      <c r="D22" s="32"/>
      <c r="E22" s="32"/>
      <c r="F22" s="32"/>
      <c r="G22" s="32"/>
      <c r="H22" s="32"/>
      <c r="I22" s="32"/>
      <c r="J22" s="32"/>
    </row>
    <row r="23" customFormat="false" ht="27.75" hidden="false" customHeight="true" outlineLevel="0" collapsed="false">
      <c r="B23" s="11" t="n">
        <v>18</v>
      </c>
      <c r="C23" s="31" t="s">
        <v>29</v>
      </c>
      <c r="D23" s="32"/>
      <c r="E23" s="32"/>
      <c r="F23" s="32"/>
      <c r="G23" s="32"/>
      <c r="H23" s="32"/>
      <c r="I23" s="32"/>
      <c r="J23" s="32"/>
    </row>
    <row r="24" customFormat="false" ht="27.75" hidden="false" customHeight="true" outlineLevel="0" collapsed="false">
      <c r="B24" s="11" t="n">
        <v>19</v>
      </c>
      <c r="C24" s="31" t="s">
        <v>29</v>
      </c>
      <c r="D24" s="32"/>
      <c r="E24" s="32"/>
      <c r="F24" s="32"/>
      <c r="G24" s="32"/>
      <c r="H24" s="32"/>
      <c r="I24" s="32"/>
      <c r="J24" s="32"/>
    </row>
    <row r="25" customFormat="false" ht="27.75" hidden="false" customHeight="true" outlineLevel="0" collapsed="false">
      <c r="B25" s="11" t="n">
        <v>20</v>
      </c>
      <c r="C25" s="31" t="s">
        <v>29</v>
      </c>
      <c r="D25" s="32"/>
      <c r="E25" s="32"/>
      <c r="F25" s="32"/>
      <c r="G25" s="32"/>
      <c r="H25" s="32"/>
      <c r="I25" s="32"/>
      <c r="J25" s="32"/>
    </row>
    <row r="26" customFormat="false" ht="27.75" hidden="false" customHeight="true" outlineLevel="0" collapsed="false">
      <c r="B26" s="11" t="n">
        <v>21</v>
      </c>
      <c r="C26" s="31" t="s">
        <v>31</v>
      </c>
      <c r="D26" s="32"/>
      <c r="E26" s="32"/>
      <c r="F26" s="32"/>
      <c r="G26" s="32"/>
      <c r="H26" s="32"/>
      <c r="I26" s="32"/>
      <c r="J26" s="32"/>
    </row>
    <row r="27" customFormat="false" ht="27.75" hidden="false" customHeight="true" outlineLevel="0" collapsed="false">
      <c r="B27" s="11" t="n">
        <v>22</v>
      </c>
      <c r="C27" s="31" t="s">
        <v>31</v>
      </c>
      <c r="D27" s="32"/>
      <c r="E27" s="32"/>
      <c r="F27" s="32"/>
      <c r="G27" s="32"/>
      <c r="H27" s="32"/>
      <c r="I27" s="32"/>
      <c r="J27" s="32"/>
    </row>
    <row r="28" customFormat="false" ht="27.75" hidden="false" customHeight="true" outlineLevel="0" collapsed="false">
      <c r="B28" s="11" t="n">
        <v>23</v>
      </c>
      <c r="C28" s="31" t="s">
        <v>31</v>
      </c>
      <c r="D28" s="32"/>
      <c r="E28" s="32"/>
      <c r="F28" s="32"/>
      <c r="G28" s="32"/>
      <c r="H28" s="32"/>
      <c r="I28" s="32"/>
      <c r="J28" s="32"/>
    </row>
    <row r="29" customFormat="false" ht="27.75" hidden="false" customHeight="true" outlineLevel="0" collapsed="false">
      <c r="B29" s="11" t="n">
        <v>24</v>
      </c>
      <c r="C29" s="31" t="s">
        <v>31</v>
      </c>
      <c r="D29" s="32"/>
      <c r="E29" s="32"/>
      <c r="F29" s="32"/>
      <c r="G29" s="32"/>
      <c r="H29" s="32"/>
      <c r="I29" s="32"/>
      <c r="J29" s="32"/>
    </row>
    <row r="30" customFormat="false" ht="27.75" hidden="false" customHeight="true" outlineLevel="0" collapsed="false">
      <c r="B30" s="11" t="n">
        <v>25</v>
      </c>
      <c r="C30" s="31" t="s">
        <v>31</v>
      </c>
      <c r="D30" s="32"/>
      <c r="E30" s="32"/>
      <c r="F30" s="32"/>
      <c r="G30" s="32"/>
      <c r="H30" s="32"/>
      <c r="I30" s="32"/>
      <c r="J30" s="32"/>
    </row>
    <row r="31" customFormat="false" ht="27.75" hidden="false" customHeight="true" outlineLevel="0" collapsed="false">
      <c r="B31" s="11" t="n">
        <v>26</v>
      </c>
      <c r="C31" s="31" t="s">
        <v>31</v>
      </c>
      <c r="D31" s="32"/>
      <c r="E31" s="32"/>
      <c r="F31" s="32"/>
      <c r="G31" s="32"/>
      <c r="H31" s="32"/>
      <c r="I31" s="32"/>
      <c r="J31" s="32"/>
    </row>
    <row r="32" customFormat="false" ht="27.75" hidden="false" customHeight="true" outlineLevel="0" collapsed="false">
      <c r="B32" s="11" t="n">
        <v>27</v>
      </c>
      <c r="C32" s="31" t="s">
        <v>31</v>
      </c>
      <c r="D32" s="32"/>
      <c r="E32" s="32"/>
      <c r="F32" s="32"/>
      <c r="G32" s="32"/>
      <c r="H32" s="32"/>
      <c r="I32" s="32"/>
      <c r="J32" s="32"/>
    </row>
    <row r="33" customFormat="false" ht="27.75" hidden="false" customHeight="true" outlineLevel="0" collapsed="false">
      <c r="B33" s="11" t="n">
        <v>28</v>
      </c>
      <c r="C33" s="31" t="s">
        <v>31</v>
      </c>
      <c r="D33" s="32"/>
      <c r="E33" s="32"/>
      <c r="F33" s="32"/>
      <c r="G33" s="32"/>
      <c r="H33" s="32"/>
      <c r="I33" s="32"/>
      <c r="J33" s="32"/>
    </row>
    <row r="34" customFormat="false" ht="27.75" hidden="false" customHeight="true" outlineLevel="0" collapsed="false">
      <c r="B34" s="11" t="n">
        <v>29</v>
      </c>
      <c r="C34" s="31" t="s">
        <v>31</v>
      </c>
      <c r="D34" s="32"/>
      <c r="E34" s="32"/>
      <c r="F34" s="32"/>
      <c r="G34" s="32"/>
      <c r="H34" s="32"/>
      <c r="I34" s="32"/>
      <c r="J34" s="32"/>
    </row>
    <row r="35" customFormat="false" ht="27.75" hidden="false" customHeight="true" outlineLevel="0" collapsed="false">
      <c r="B35" s="11" t="n">
        <v>30</v>
      </c>
      <c r="C35" s="31" t="s">
        <v>31</v>
      </c>
      <c r="D35" s="32"/>
      <c r="E35" s="32"/>
      <c r="F35" s="32"/>
      <c r="G35" s="32"/>
      <c r="H35" s="32"/>
      <c r="I35" s="32"/>
      <c r="J35" s="32"/>
    </row>
    <row r="36" customFormat="false" ht="27.75" hidden="false" customHeight="true" outlineLevel="0" collapsed="false">
      <c r="B36" s="11" t="n">
        <v>31</v>
      </c>
      <c r="C36" s="31" t="s">
        <v>33</v>
      </c>
      <c r="D36" s="32"/>
      <c r="E36" s="32"/>
      <c r="F36" s="32"/>
      <c r="G36" s="32"/>
      <c r="H36" s="32"/>
      <c r="I36" s="32"/>
      <c r="J36" s="32"/>
    </row>
    <row r="37" customFormat="false" ht="27.75" hidden="false" customHeight="true" outlineLevel="0" collapsed="false">
      <c r="B37" s="11" t="n">
        <v>32</v>
      </c>
      <c r="C37" s="31" t="s">
        <v>33</v>
      </c>
      <c r="D37" s="32"/>
      <c r="E37" s="32"/>
      <c r="F37" s="32"/>
      <c r="G37" s="32"/>
      <c r="H37" s="32"/>
      <c r="I37" s="32"/>
      <c r="J37" s="32"/>
    </row>
    <row r="38" customFormat="false" ht="27.75" hidden="false" customHeight="true" outlineLevel="0" collapsed="false">
      <c r="B38" s="11" t="n">
        <v>33</v>
      </c>
      <c r="C38" s="31" t="s">
        <v>33</v>
      </c>
      <c r="D38" s="32"/>
      <c r="E38" s="32"/>
      <c r="F38" s="32"/>
      <c r="G38" s="32"/>
      <c r="H38" s="32"/>
      <c r="I38" s="32"/>
      <c r="J38" s="32"/>
    </row>
    <row r="39" customFormat="false" ht="27.75" hidden="false" customHeight="true" outlineLevel="0" collapsed="false">
      <c r="B39" s="11" t="n">
        <v>34</v>
      </c>
      <c r="C39" s="31" t="s">
        <v>33</v>
      </c>
      <c r="D39" s="32"/>
      <c r="E39" s="32"/>
      <c r="F39" s="32"/>
      <c r="G39" s="32"/>
      <c r="H39" s="32"/>
      <c r="I39" s="32"/>
      <c r="J39" s="32"/>
    </row>
    <row r="40" customFormat="false" ht="27.75" hidden="false" customHeight="true" outlineLevel="0" collapsed="false">
      <c r="B40" s="11" t="n">
        <v>35</v>
      </c>
      <c r="C40" s="31" t="s">
        <v>33</v>
      </c>
      <c r="D40" s="32"/>
      <c r="E40" s="32"/>
      <c r="F40" s="32"/>
      <c r="G40" s="32"/>
      <c r="H40" s="32"/>
      <c r="I40" s="32"/>
      <c r="J40" s="32"/>
    </row>
    <row r="41" customFormat="false" ht="27.75" hidden="false" customHeight="true" outlineLevel="0" collapsed="false">
      <c r="B41" s="11" t="n">
        <v>36</v>
      </c>
      <c r="C41" s="31" t="s">
        <v>33</v>
      </c>
      <c r="D41" s="32"/>
      <c r="E41" s="32"/>
      <c r="F41" s="32"/>
      <c r="G41" s="32"/>
      <c r="H41" s="32"/>
      <c r="I41" s="32"/>
      <c r="J41" s="32"/>
    </row>
    <row r="42" customFormat="false" ht="27.75" hidden="false" customHeight="true" outlineLevel="0" collapsed="false">
      <c r="B42" s="11" t="n">
        <v>37</v>
      </c>
      <c r="C42" s="31" t="s">
        <v>33</v>
      </c>
      <c r="D42" s="32"/>
      <c r="E42" s="32"/>
      <c r="F42" s="32"/>
      <c r="G42" s="32"/>
      <c r="H42" s="32"/>
      <c r="I42" s="32"/>
      <c r="J42" s="32"/>
    </row>
    <row r="43" customFormat="false" ht="27.75" hidden="false" customHeight="true" outlineLevel="0" collapsed="false">
      <c r="B43" s="11" t="n">
        <v>38</v>
      </c>
      <c r="C43" s="31" t="s">
        <v>33</v>
      </c>
      <c r="D43" s="32"/>
      <c r="E43" s="32"/>
      <c r="F43" s="32"/>
      <c r="G43" s="32"/>
      <c r="H43" s="32"/>
      <c r="I43" s="32"/>
      <c r="J43" s="32"/>
    </row>
    <row r="44" customFormat="false" ht="27.75" hidden="false" customHeight="true" outlineLevel="0" collapsed="false">
      <c r="B44" s="11" t="n">
        <v>39</v>
      </c>
      <c r="C44" s="31" t="s">
        <v>33</v>
      </c>
      <c r="D44" s="32"/>
      <c r="E44" s="32"/>
      <c r="F44" s="32"/>
      <c r="G44" s="32"/>
      <c r="H44" s="32"/>
      <c r="I44" s="32"/>
      <c r="J44" s="32"/>
    </row>
    <row r="45" customFormat="false" ht="27.75" hidden="false" customHeight="true" outlineLevel="0" collapsed="false">
      <c r="B45" s="11" t="n">
        <v>40</v>
      </c>
      <c r="C45" s="31" t="s">
        <v>33</v>
      </c>
      <c r="D45" s="32"/>
      <c r="E45" s="32"/>
      <c r="F45" s="32"/>
      <c r="G45" s="32"/>
      <c r="H45" s="32"/>
      <c r="I45" s="32"/>
      <c r="J45" s="32"/>
    </row>
    <row r="46" customFormat="false" ht="27.75" hidden="false" customHeight="true" outlineLevel="0" collapsed="false">
      <c r="B46" s="11" t="n">
        <v>41</v>
      </c>
      <c r="C46" s="31" t="s">
        <v>35</v>
      </c>
      <c r="D46" s="32"/>
      <c r="E46" s="32"/>
      <c r="F46" s="32"/>
      <c r="G46" s="32"/>
      <c r="H46" s="32"/>
      <c r="I46" s="32"/>
      <c r="J46" s="32"/>
    </row>
    <row r="47" customFormat="false" ht="27.75" hidden="false" customHeight="true" outlineLevel="0" collapsed="false">
      <c r="B47" s="11" t="n">
        <v>42</v>
      </c>
      <c r="C47" s="31" t="s">
        <v>35</v>
      </c>
      <c r="D47" s="32"/>
      <c r="E47" s="32"/>
      <c r="F47" s="32"/>
      <c r="G47" s="32"/>
      <c r="H47" s="32"/>
      <c r="I47" s="32"/>
      <c r="J47" s="32"/>
    </row>
    <row r="48" customFormat="false" ht="27.75" hidden="false" customHeight="true" outlineLevel="0" collapsed="false">
      <c r="B48" s="11" t="n">
        <v>43</v>
      </c>
      <c r="C48" s="31" t="s">
        <v>35</v>
      </c>
      <c r="D48" s="32"/>
      <c r="E48" s="32"/>
      <c r="F48" s="32"/>
      <c r="G48" s="32"/>
      <c r="H48" s="32"/>
      <c r="I48" s="32"/>
      <c r="J48" s="32"/>
    </row>
    <row r="49" customFormat="false" ht="27.75" hidden="false" customHeight="true" outlineLevel="0" collapsed="false">
      <c r="B49" s="11" t="n">
        <v>44</v>
      </c>
      <c r="C49" s="31" t="s">
        <v>35</v>
      </c>
      <c r="D49" s="32"/>
      <c r="E49" s="32"/>
      <c r="F49" s="32"/>
      <c r="G49" s="32"/>
      <c r="H49" s="32"/>
      <c r="I49" s="32"/>
      <c r="J49" s="32"/>
    </row>
    <row r="50" customFormat="false" ht="27.75" hidden="false" customHeight="true" outlineLevel="0" collapsed="false">
      <c r="B50" s="11" t="n">
        <v>45</v>
      </c>
      <c r="C50" s="31" t="s">
        <v>35</v>
      </c>
      <c r="D50" s="32"/>
      <c r="E50" s="32"/>
      <c r="F50" s="32"/>
      <c r="G50" s="32"/>
      <c r="H50" s="32"/>
      <c r="I50" s="32"/>
      <c r="J50" s="32"/>
    </row>
    <row r="51" customFormat="false" ht="27.75" hidden="false" customHeight="true" outlineLevel="0" collapsed="false">
      <c r="B51" s="11" t="n">
        <v>46</v>
      </c>
      <c r="C51" s="31" t="s">
        <v>35</v>
      </c>
      <c r="D51" s="32"/>
      <c r="E51" s="32"/>
      <c r="F51" s="32"/>
      <c r="G51" s="32"/>
      <c r="H51" s="32"/>
      <c r="I51" s="32"/>
      <c r="J51" s="32"/>
    </row>
    <row r="52" customFormat="false" ht="27.75" hidden="false" customHeight="true" outlineLevel="0" collapsed="false">
      <c r="B52" s="11" t="n">
        <v>47</v>
      </c>
      <c r="C52" s="31" t="s">
        <v>35</v>
      </c>
      <c r="D52" s="32"/>
      <c r="E52" s="32"/>
      <c r="F52" s="32"/>
      <c r="G52" s="32"/>
      <c r="H52" s="32"/>
      <c r="I52" s="32"/>
      <c r="J52" s="32"/>
    </row>
    <row r="53" customFormat="false" ht="27.75" hidden="false" customHeight="true" outlineLevel="0" collapsed="false">
      <c r="B53" s="11" t="n">
        <v>48</v>
      </c>
      <c r="C53" s="31" t="s">
        <v>35</v>
      </c>
      <c r="D53" s="32"/>
      <c r="E53" s="32"/>
      <c r="F53" s="32"/>
      <c r="G53" s="32"/>
      <c r="H53" s="32"/>
      <c r="I53" s="32"/>
      <c r="J53" s="32"/>
    </row>
    <row r="54" customFormat="false" ht="27.75" hidden="false" customHeight="true" outlineLevel="0" collapsed="false">
      <c r="B54" s="11" t="n">
        <v>49</v>
      </c>
      <c r="C54" s="31" t="s">
        <v>35</v>
      </c>
      <c r="D54" s="32"/>
      <c r="E54" s="32"/>
      <c r="F54" s="32"/>
      <c r="G54" s="32"/>
      <c r="H54" s="32"/>
      <c r="I54" s="32"/>
      <c r="J54" s="32"/>
    </row>
    <row r="55" customFormat="false" ht="27.75" hidden="false" customHeight="true" outlineLevel="0" collapsed="false">
      <c r="B55" s="11" t="n">
        <v>50</v>
      </c>
      <c r="C55" s="31" t="s">
        <v>35</v>
      </c>
      <c r="D55" s="32"/>
      <c r="E55" s="32"/>
      <c r="F55" s="32"/>
      <c r="G55" s="32"/>
      <c r="H55" s="32"/>
      <c r="I55" s="32"/>
      <c r="J55" s="32"/>
    </row>
  </sheetData>
  <dataValidations count="2">
    <dataValidation allowBlank="true" errorStyle="stop" operator="between" showDropDown="false" showErrorMessage="false" showInputMessage="false" sqref="J6:J55" type="list">
      <formula1>"Not started,Researching,Ready to send,Sent,Followed up,Replied,Won,Lost"</formula1>
      <formula2>0</formula2>
    </dataValidation>
    <dataValidation allowBlank="true" errorStyle="stop" operator="between" showDropDown="false" showErrorMessage="false" showInputMessage="false" sqref="H6:H55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2026-05-29T18:05:44Z</dcterms:created>
  <dc:creator>openpyxl</dc:creator>
  <dc:description/>
  <dc:language>en-US</dc:language>
  <cp:lastModifiedBy/>
  <dcterms:modified xsi:type="dcterms:W3CDTF">2026-05-29T18:05:44Z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