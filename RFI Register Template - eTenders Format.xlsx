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FI Register" sheetId="2" state="visible" r:id="rId4"/>
    <sheet name="Lookups" sheetId="3" state="visible" r:id="rId5"/>
    <sheet name="Submission Log"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<sst xmlns="http://schemas.openxmlformats.org/spreadsheetml/2006/main" count="255" uniqueCount="172">
  <si>
    <t xml:space="preserve">57 Rathbeale Road</t>
  </si>
  <si>
    <t xml:space="preserve">CRC Omni Unit 48A — RFI Register</t>
  </si>
  <si>
    <t xml:space="preserve">Issued under PW-CF5 (Employer-Designed) — eTenders procedure</t>
  </si>
  <si>
    <t xml:space="preserve">Project code</t>
  </si>
  <si>
    <t xml:space="preserve">RBR-CRC-48A</t>
  </si>
  <si>
    <t xml:space="preserve">Contract form</t>
  </si>
  <si>
    <t xml:space="preserve">PW-CF5 (Employer-Designed)</t>
  </si>
  <si>
    <t xml:space="preserve">Contracting Authority</t>
  </si>
  <si>
    <t xml:space="preserve">[CONFIRM PER C-01]</t>
  </si>
  <si>
    <t xml:space="preserve">Employer</t>
  </si>
  <si>
    <t xml:space="preserve">Building Owner</t>
  </si>
  <si>
    <t xml:space="preserve">Tender pack version reviewed</t>
  </si>
  <si>
    <t xml:space="preserve">[POPULATE DAY 1]</t>
  </si>
  <si>
    <t xml:space="preserve">RFI direction</t>
  </si>
  <si>
    <t xml:space="preserve">[A] Pre-issue internal change   /   [B] Post-issue bidder RFI   (TICK ONE — confirm via CA note)</t>
  </si>
  <si>
    <t xml:space="preserve">Query window opens</t>
  </si>
  <si>
    <t xml:space="preserve">[POPULATE PER PACK]</t>
  </si>
  <si>
    <t xml:space="preserve">Query window closes</t>
  </si>
  <si>
    <t xml:space="preserve">Wednesday, 10 June 2026, 17:00</t>
  </si>
  <si>
    <t xml:space="preserve">Issuing party</t>
  </si>
  <si>
    <t xml:space="preserve">Liam Dunne, GovIQ</t>
  </si>
  <si>
    <t xml:space="preserve">Document version</t>
  </si>
  <si>
    <t xml:space="preserve">v1.0 — 27-May-2026</t>
  </si>
  <si>
    <t xml:space="preserve">Instructions for use</t>
  </si>
  <si>
    <t xml:space="preserve">1. Confirm RFI direction (Cover row 12) before populating the register. Default working assumption is Option A — Pre-issue internal change register.</t>
  </si>
  <si>
    <t xml:space="preserve">2. Number RFIs sequentially in column A as RFI-001, RFI-002 … no gaps, no reuse.</t>
  </si>
  <si>
    <t xml:space="preserve">3. Every RFI must back-reference its source finding_id(s) in column J. Multiple findings can map to one RFI.</t>
  </si>
  <si>
    <t xml:space="preserve">4. Every RFI must state a proposed correction in column G — never just identify the issue. RFIs that only describe a problem are rejected at QA.</t>
  </si>
  <si>
    <t xml:space="preserve">5. Severity (column D) propagates from the highest-severity source finding. CRITICAL items must be submitted first.</t>
  </si>
  <si>
    <t xml:space="preserve">6. Response Required By (column H) defaults to the query window close date unless an earlier date is justified.</t>
  </si>
  <si>
    <t xml:space="preserve">7. Status (column L) drives the conditional formatting. Use the drop-down — do not type free text.</t>
  </si>
  <si>
    <t xml:space="preserve">8. Submission Log (sheet 4) is the legal record of submission. Populate timestamp, route, and evidence file for every submitted RFI.</t>
  </si>
  <si>
    <t xml:space="preserve">9. Do not delete the Lookups sheet — data validation depends on it.</t>
  </si>
  <si>
    <t xml:space="preserve">10. Lock the file with 'Track Changes' before final submission to preserve audit trail.</t>
  </si>
  <si>
    <t xml:space="preserve">RFI #</t>
  </si>
  <si>
    <t xml:space="preserve">Date Raised</t>
  </si>
  <si>
    <t xml:space="preserve">Discipline</t>
  </si>
  <si>
    <t xml:space="preserve">Severity</t>
  </si>
  <si>
    <t xml:space="preserve">Document Ref</t>
  </si>
  <si>
    <t xml:space="preserve">Section / Clause</t>
  </si>
  <si>
    <t xml:space="preserve">Query to CA</t>
  </si>
  <si>
    <t xml:space="preserve">Proposed Correction</t>
  </si>
  <si>
    <t xml:space="preserve">Response Required By</t>
  </si>
  <si>
    <t xml:space="preserve">Source Finding ID(s)</t>
  </si>
  <si>
    <t xml:space="preserve">Owner (party)</t>
  </si>
  <si>
    <t xml:space="preserve">Status</t>
  </si>
  <si>
    <t xml:space="preserve">CA Response</t>
  </si>
  <si>
    <t xml:space="preserve">Date Responded</t>
  </si>
  <si>
    <t xml:space="preserve">Accepted? (Y/N)</t>
  </si>
  <si>
    <t xml:space="preserve">Notes</t>
  </si>
  <si>
    <t xml:space="preserve">RFI-001</t>
  </si>
  <si>
    <t xml:space="preserve">2026-05-27</t>
  </si>
  <si>
    <t xml:space="preserve">CONTRACT_ADMIN</t>
  </si>
  <si>
    <t xml:space="preserve">CRITICAL</t>
  </si>
  <si>
    <t xml:space="preserve">ITT / FOT / FTS Notice / Conditions of Contract / BCAR appointments</t>
  </si>
  <si>
    <t xml:space="preserve">Multiple — party identity</t>
  </si>
  <si>
    <t xml:space="preserve">The Employer, Contracting Authority and Building Owner are identified inconsistently across the tender pack. Confirm the single legal entity that is the Employer for the purposes of PW-CF5, the legal entity that is the Contracting Authority for the purposes of SI 284/2016, and the legal entity that holds title to the Building. Confirm registered numbers (HSE / CRC Children's Disability Network Team / Section 38–39 entity).</t>
  </si>
  <si>
    <t xml:space="preserve">Issue an addendum/correction inserting consistent legal entity names and registered numbers across all named locations — FTS Notice §I.1, ITT §1.2, FOT Schedule Part 1 §1.1, Conditions of Contract clause 1.1, and BCAR Form of Appointment §2. Replace 'CRC' / 'Employer' / 'Building Owner' references with the confirmed legal entities throughout.</t>
  </si>
  <si>
    <t xml:space="preserve">2026-06-03</t>
  </si>
  <si>
    <t xml:space="preserve">C-001</t>
  </si>
  <si>
    <t xml:space="preserve">EMPLOYER</t>
  </si>
  <si>
    <t xml:space="preserve">DRAFT</t>
  </si>
  <si>
    <t xml:space="preserve">Closes C-01. Blocks tender issue / award until resolved.</t>
  </si>
  <si>
    <t xml:space="preserve">RFI-002</t>
  </si>
  <si>
    <t xml:space="preserve">BCAR Ancillary Cert pack / Conditions of Contract</t>
  </si>
  <si>
    <t xml:space="preserve">BCAR Ancillary Cert list vs PW-CF5 design responsibility</t>
  </si>
  <si>
    <t xml:space="preserve">The BCAR documentation set (Form of Notice of Assignment, Ancillary Certificates list, Design Certifier appointment) is drafted on the basis of a Design &amp; Build delivery model. The contract is PW-CF5 Employer-Designed. Confirm the intended delivery model and instruct alignment of the BCAR pack with the confirmed model under SI 9/2014.</t>
  </si>
  <si>
    <t xml:space="preserve">Re-issue the BCAR Ancillary Cert pack with design responsibility allocated to the Employer's Design Team (not the Contractor) per SI 9/2014 Reg 9. Revise Form of Notice of Assignment, Ancillary Certificates list (Schedule of Designers), and Design Certifier appointment letter to reflect Employer-Designed delivery.</t>
  </si>
  <si>
    <t xml:space="preserve">C-002</t>
  </si>
  <si>
    <t xml:space="preserve">ER</t>
  </si>
  <si>
    <t xml:space="preserve">Closes C-02. May trigger BCAR re-issue — flag schedule risk.</t>
  </si>
  <si>
    <t xml:space="preserve">RFI-003</t>
  </si>
  <si>
    <t xml:space="preserve">QUANTITY_SURVEYING</t>
  </si>
  <si>
    <t xml:space="preserve">Form of Tender — Schedule Part 1</t>
  </si>
  <si>
    <t xml:space="preserve">Schedule Part 1 §1.1.16 &amp; §11 (Date for Substantial Completion / Liquidated Damages)</t>
  </si>
  <si>
    <t xml:space="preserve">The Date for Substantial Completion in Schedule Part 1 §1.1.16 is blank, and the Liquidated Damages rate in §11 is not stated. As drafted, LDs are unenforceable. Confirm the Date for Substantial Completion (defensible against programme) and confirm the LD rate per day (€/day) for inclusion in Schedule Part 1.</t>
  </si>
  <si>
    <t xml:space="preserve">Insert: Date for Substantial Completion = [DD-MMM-YYYY derived from approved programme + reasonable allowance]; Liquidated Damages = €[X] per day or part thereof; cap at 10% of Contract Sum per PW-CF5 §13. Issue as Schedule Part 1 revision.</t>
  </si>
  <si>
    <t xml:space="preserve">C-003</t>
  </si>
  <si>
    <t xml:space="preserve">Closes C-03. Without this, no LD recovery possible at completion.</t>
  </si>
  <si>
    <t xml:space="preserve">RFI-004</t>
  </si>
  <si>
    <t xml:space="preserve">RFI-005</t>
  </si>
  <si>
    <t xml:space="preserve">RFI-006</t>
  </si>
  <si>
    <t xml:space="preserve">RFI-007</t>
  </si>
  <si>
    <t xml:space="preserve">RFI-008</t>
  </si>
  <si>
    <t xml:space="preserve">RFI-009</t>
  </si>
  <si>
    <t xml:space="preserve">RFI-010</t>
  </si>
  <si>
    <t xml:space="preserve">RFI-011</t>
  </si>
  <si>
    <t xml:space="preserve">RFI-012</t>
  </si>
  <si>
    <t xml:space="preserve">RFI-013</t>
  </si>
  <si>
    <t xml:space="preserve">RFI-014</t>
  </si>
  <si>
    <t xml:space="preserve">RFI-015</t>
  </si>
  <si>
    <t xml:space="preserve">RFI-016</t>
  </si>
  <si>
    <t xml:space="preserve">RFI-017</t>
  </si>
  <si>
    <t xml:space="preserve">RFI-018</t>
  </si>
  <si>
    <t xml:space="preserve">RFI-019</t>
  </si>
  <si>
    <t xml:space="preserve">RFI-020</t>
  </si>
  <si>
    <t xml:space="preserve">RFI-021</t>
  </si>
  <si>
    <t xml:space="preserve">RFI-022</t>
  </si>
  <si>
    <t xml:space="preserve">RFI-023</t>
  </si>
  <si>
    <t xml:space="preserve">RFI-024</t>
  </si>
  <si>
    <t xml:space="preserve">RFI-025</t>
  </si>
  <si>
    <t xml:space="preserve">RFI-026</t>
  </si>
  <si>
    <t xml:space="preserve">RFI-027</t>
  </si>
  <si>
    <t xml:space="preserve">RFI-028</t>
  </si>
  <si>
    <t xml:space="preserve">RFI-029</t>
  </si>
  <si>
    <t xml:space="preserve">RFI-030</t>
  </si>
  <si>
    <t xml:space="preserve">RFI-031</t>
  </si>
  <si>
    <t xml:space="preserve">RFI-032</t>
  </si>
  <si>
    <t xml:space="preserve">RFI-033</t>
  </si>
  <si>
    <t xml:space="preserve">RFI-034</t>
  </si>
  <si>
    <t xml:space="preserve">RFI-035</t>
  </si>
  <si>
    <t xml:space="preserve">RFI-036</t>
  </si>
  <si>
    <t xml:space="preserve">RFI-037</t>
  </si>
  <si>
    <t xml:space="preserve">RFI-038</t>
  </si>
  <si>
    <t xml:space="preserve">RFI-039</t>
  </si>
  <si>
    <t xml:space="preserve">RFI-040</t>
  </si>
  <si>
    <t xml:space="preserve">RFI-041</t>
  </si>
  <si>
    <t xml:space="preserve">RFI-042</t>
  </si>
  <si>
    <t xml:space="preserve">RFI-043</t>
  </si>
  <si>
    <t xml:space="preserve">RFI-044</t>
  </si>
  <si>
    <t xml:space="preserve">RFI-045</t>
  </si>
  <si>
    <t xml:space="preserve">RFI-046</t>
  </si>
  <si>
    <t xml:space="preserve">RFI-047</t>
  </si>
  <si>
    <t xml:space="preserve">RFI-048</t>
  </si>
  <si>
    <t xml:space="preserve">RFI-049</t>
  </si>
  <si>
    <t xml:space="preserve">RFI-050</t>
  </si>
  <si>
    <t xml:space="preserve">RFI-051</t>
  </si>
  <si>
    <t xml:space="preserve">RFI-052</t>
  </si>
  <si>
    <t xml:space="preserve">RFI-053</t>
  </si>
  <si>
    <t xml:space="preserve">Owner Party</t>
  </si>
  <si>
    <t xml:space="preserve">Accepted Y/N</t>
  </si>
  <si>
    <t xml:space="preserve">ARCHITECTURAL</t>
  </si>
  <si>
    <t xml:space="preserve">Y</t>
  </si>
  <si>
    <t xml:space="preserve">HIGH</t>
  </si>
  <si>
    <t xml:space="preserve">READY_TO_SUBMIT</t>
  </si>
  <si>
    <t xml:space="preserve">STRUCTURAL</t>
  </si>
  <si>
    <t xml:space="preserve">CONTRACTING_AUTHORITY</t>
  </si>
  <si>
    <t xml:space="preserve">N</t>
  </si>
  <si>
    <t xml:space="preserve">MEDIUM</t>
  </si>
  <si>
    <t xml:space="preserve">SUBMITTED</t>
  </si>
  <si>
    <t xml:space="preserve">MECHANICAL</t>
  </si>
  <si>
    <t xml:space="preserve">PARTIAL</t>
  </si>
  <si>
    <t xml:space="preserve">LOW</t>
  </si>
  <si>
    <t xml:space="preserve">RESPONDED</t>
  </si>
  <si>
    <t xml:space="preserve">ELECTRICAL</t>
  </si>
  <si>
    <t xml:space="preserve">LEAD_DESIGNER</t>
  </si>
  <si>
    <t xml:space="preserve">CLOSED</t>
  </si>
  <si>
    <t xml:space="preserve">ARCH_DESIGNER</t>
  </si>
  <si>
    <t xml:space="preserve">WITHDRAWN</t>
  </si>
  <si>
    <t xml:space="preserve">CS_DESIGNER</t>
  </si>
  <si>
    <t xml:space="preserve">ME_DESIGNER</t>
  </si>
  <si>
    <t xml:space="preserve">EE_DESIGNER</t>
  </si>
  <si>
    <t xml:space="preserve">QS</t>
  </si>
  <si>
    <t xml:space="preserve">PSDP</t>
  </si>
  <si>
    <t xml:space="preserve">ASSIGNED_CERTIFIER</t>
  </si>
  <si>
    <t xml:space="preserve">CONTRACTOR</t>
  </si>
  <si>
    <t xml:space="preserve">Submitted Date/Time</t>
  </si>
  <si>
    <t xml:space="preserve">Submission Route</t>
  </si>
  <si>
    <t xml:space="preserve">Submitted By</t>
  </si>
  <si>
    <t xml:space="preserve">Recipient (named)</t>
  </si>
  <si>
    <t xml:space="preserve">Evidence (file / URL)</t>
  </si>
  <si>
    <t xml:space="preserve">Receipt Timestamp</t>
  </si>
  <si>
    <t xml:space="preserve">Receipt Confirmed By</t>
  </si>
  <si>
    <t xml:space="preserve">RFI Register — Live Summary</t>
  </si>
  <si>
    <t xml:space="preserve">By Severity</t>
  </si>
  <si>
    <t xml:space="preserve">By Status</t>
  </si>
  <si>
    <t xml:space="preserve">TOTAL</t>
  </si>
  <si>
    <t xml:space="preserve">Sprint progress</t>
  </si>
  <si>
    <t xml:space="preserve">Total RFIs raised</t>
  </si>
  <si>
    <t xml:space="preserve">Submitted + Responded + Closed</t>
  </si>
  <si>
    <t xml:space="preserve">Outstanding (DRAFT + READY_TO_SUBMIT)</t>
  </si>
  <si>
    <t xml:space="preserve">% Closed</t>
  </si>
</sst>
</file>

<file path=xl/styles.xml><?xml version="1.0" encoding="utf-8"?>
<styleSheet xmlns="http://schemas.openxmlformats.org/spreadsheetml/2006/main">
  <numFmts count="2">
    <numFmt numFmtId="164" formatCode="General"/>
    <numFmt numFmtId="165" formatCode="0.0%"/>
  </numFmts>
  <fonts count="18">
    <font>
      <sz val="11"/>
      <color theme="1"/>
      <name val="Calibri"/>
      <family val="2"/>
      <charset val="1"/>
    </font>
    <font>
      <sz val="10"/>
      <name val="Arial"/>
      <family val="0"/>
    </font>
    <font>
      <sz val="10"/>
      <name val="Arial"/>
      <family val="0"/>
    </font>
    <font>
      <sz val="10"/>
      <name val="Arial"/>
      <family val="0"/>
    </font>
    <font>
      <sz val="10"/>
      <color rgb="FF5A5A5A"/>
      <name val="Calibri"/>
      <family val="0"/>
      <charset val="1"/>
    </font>
    <font>
      <b val="true"/>
      <sz val="22"/>
      <color rgb="FF1F3A5F"/>
      <name val="Calibri"/>
      <family val="0"/>
      <charset val="1"/>
    </font>
    <font>
      <i val="true"/>
      <sz val="12"/>
      <color rgb="FF5A5A5A"/>
      <name val="Calibri"/>
      <family val="0"/>
      <charset val="1"/>
    </font>
    <font>
      <b val="true"/>
      <sz val="10"/>
      <color rgb="FF1A1A1A"/>
      <name val="Calibri"/>
      <family val="0"/>
      <charset val="1"/>
    </font>
    <font>
      <sz val="10"/>
      <color rgb="FF1A1A1A"/>
      <name val="Calibri"/>
      <family val="0"/>
      <charset val="1"/>
    </font>
    <font>
      <b val="true"/>
      <sz val="14"/>
      <color rgb="FF1F3A5F"/>
      <name val="Calibri"/>
      <family val="0"/>
      <charset val="1"/>
    </font>
    <font>
      <b val="true"/>
      <sz val="10"/>
      <color rgb="FFFFFFFF"/>
      <name val="Calibri"/>
      <family val="0"/>
      <charset val="1"/>
    </font>
    <font>
      <sz val="9"/>
      <color rgb="FF1A1A1A"/>
      <name val="Calibri"/>
      <family val="0"/>
      <charset val="1"/>
    </font>
    <font>
      <b val="true"/>
      <sz val="9"/>
      <color rgb="FF1A1A1A"/>
      <name val="Calibri"/>
      <family val="0"/>
      <charset val="1"/>
    </font>
    <font>
      <b val="true"/>
      <sz val="9"/>
      <color rgb="FF5A5A5A"/>
      <name val="Calibri"/>
      <family val="0"/>
      <charset val="1"/>
    </font>
    <font>
      <b val="true"/>
      <sz val="18"/>
      <color rgb="FF1F3A5F"/>
      <name val="Calibri"/>
      <family val="0"/>
      <charset val="1"/>
    </font>
    <font>
      <b val="true"/>
      <sz val="12"/>
      <color rgb="FF1A1A1A"/>
      <name val="Calibri"/>
      <family val="0"/>
      <charset val="1"/>
    </font>
    <font>
      <b val="true"/>
      <sz val="10"/>
      <name val="Calibri"/>
      <family val="0"/>
      <charset val="1"/>
    </font>
    <font>
      <sz val="10"/>
      <name val="Calibri"/>
      <family val="0"/>
      <charset val="1"/>
    </font>
  </fonts>
  <fills count="8">
    <fill>
      <patternFill patternType="none"/>
    </fill>
    <fill>
      <patternFill patternType="gray125"/>
    </fill>
    <fill>
      <patternFill patternType="solid">
        <fgColor rgb="FFF4F6F8"/>
        <bgColor rgb="FFFFFFFF"/>
      </patternFill>
    </fill>
    <fill>
      <patternFill patternType="solid">
        <fgColor rgb="FF1F3A5F"/>
        <bgColor rgb="FF333399"/>
      </patternFill>
    </fill>
    <fill>
      <patternFill patternType="solid">
        <fgColor rgb="FFF8D7DA"/>
        <bgColor rgb="FFFFE5B4"/>
      </patternFill>
    </fill>
    <fill>
      <patternFill patternType="solid">
        <fgColor rgb="FFFFE5B4"/>
        <bgColor rgb="FFFFF4D6"/>
      </patternFill>
    </fill>
    <fill>
      <patternFill patternType="solid">
        <fgColor rgb="FFFFF4D6"/>
        <bgColor rgb="FFF4F6F8"/>
      </patternFill>
    </fill>
    <fill>
      <patternFill patternType="solid">
        <fgColor rgb="FFE2F0D9"/>
        <bgColor rgb="FFD5F5E3"/>
      </patternFill>
    </fill>
  </fills>
  <borders count="3">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 diagonalUp="false" diagonalDown="false">
      <left style="thin">
        <color rgb="FFB4B4B4"/>
      </left>
      <right style="thin">
        <color rgb="FFB4B4B4"/>
      </right>
      <top style="medium">
        <color rgb="FF1F3A5F"/>
      </top>
      <bottom style="medium">
        <color rgb="FF1F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3" borderId="2"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64" fontId="16" fillId="7"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16" fillId="2" borderId="1" xfId="0" applyFont="true" applyBorder="true" applyAlignment="true" applyProtection="false">
      <alignment horizontal="left" vertical="center" textRotation="0" wrapText="false" indent="1" shrinkToFit="false"/>
      <protection locked="true" hidden="false"/>
    </xf>
    <xf numFmtId="165" fontId="16"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8D7DA"/>
        </patternFill>
      </fill>
    </dxf>
    <dxf>
      <fill>
        <patternFill>
          <bgColor rgb="FFFFE5B4"/>
        </patternFill>
      </fill>
    </dxf>
    <dxf>
      <fill>
        <patternFill>
          <bgColor rgb="FFFFF4D6"/>
        </patternFill>
      </fill>
    </dxf>
    <dxf>
      <fill>
        <patternFill>
          <bgColor rgb="FFE2F0D9"/>
        </patternFill>
      </fill>
    </dxf>
    <dxf>
      <fill>
        <patternFill>
          <bgColor rgb="FFD6EAF8"/>
        </patternFill>
      </fill>
    </dxf>
    <dxf>
      <fill>
        <patternFill>
          <bgColor rgb="FFD5F5E3"/>
        </patternFill>
      </fill>
    </dxf>
    <dxf>
      <fill>
        <patternFill>
          <bgColor rgb="FFF4F6F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4D6"/>
      <rgbColor rgb="FFD6EAF8"/>
      <rgbColor rgb="FF660066"/>
      <rgbColor rgb="FFFF8080"/>
      <rgbColor rgb="FF0066CC"/>
      <rgbColor rgb="FFF8D7DA"/>
      <rgbColor rgb="FF000080"/>
      <rgbColor rgb="FFFF00FF"/>
      <rgbColor rgb="FFFFFF00"/>
      <rgbColor rgb="FF00FFFF"/>
      <rgbColor rgb="FF800080"/>
      <rgbColor rgb="FF800000"/>
      <rgbColor rgb="FF008080"/>
      <rgbColor rgb="FF0000FF"/>
      <rgbColor rgb="FF00CCFF"/>
      <rgbColor rgb="FFE2F0D9"/>
      <rgbColor rgb="FFD5F5E3"/>
      <rgbColor rgb="FFF4F6F8"/>
      <rgbColor rgb="FF99CCFF"/>
      <rgbColor rgb="FFFF99CC"/>
      <rgbColor rgb="FFCC99FF"/>
      <rgbColor rgb="FFFFE5B4"/>
      <rgbColor rgb="FF3366FF"/>
      <rgbColor rgb="FF33CCCC"/>
      <rgbColor rgb="FF99CC00"/>
      <rgbColor rgb="FFFFCC00"/>
      <rgbColor rgb="FFFF9900"/>
      <rgbColor rgb="FFFF6600"/>
      <rgbColor rgb="FF5A5A5A"/>
      <rgbColor rgb="FF969696"/>
      <rgbColor rgb="FF1F3A5F"/>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8" min="3" style="0" width="18"/>
  </cols>
  <sheetData>
    <row r="2" customFormat="false" ht="15" hidden="false" customHeight="false" outlineLevel="0" collapsed="false">
      <c r="B2" s="1" t="s">
        <v>0</v>
      </c>
    </row>
    <row r="3" customFormat="false" ht="26.8" hidden="false" customHeight="false" outlineLevel="0" collapsed="false">
      <c r="B3" s="2" t="s">
        <v>1</v>
      </c>
    </row>
    <row r="4" customFormat="false" ht="15" hidden="false" customHeight="false" outlineLevel="0" collapsed="false">
      <c r="B4" s="3" t="s">
        <v>2</v>
      </c>
    </row>
    <row r="6" customFormat="false" ht="21.75" hidden="false" customHeight="true" outlineLevel="0" collapsed="false">
      <c r="B6" s="4" t="s">
        <v>3</v>
      </c>
      <c r="C6" s="5" t="s">
        <v>4</v>
      </c>
      <c r="D6" s="5"/>
      <c r="E6" s="5"/>
      <c r="F6" s="5"/>
      <c r="G6" s="5"/>
      <c r="H6" s="5"/>
    </row>
    <row r="7" customFormat="false" ht="21.75" hidden="false" customHeight="true" outlineLevel="0" collapsed="false">
      <c r="B7" s="4" t="s">
        <v>5</v>
      </c>
      <c r="C7" s="5" t="s">
        <v>6</v>
      </c>
      <c r="D7" s="5"/>
      <c r="E7" s="5"/>
      <c r="F7" s="5"/>
      <c r="G7" s="5"/>
      <c r="H7" s="5"/>
    </row>
    <row r="8" customFormat="false" ht="21.75" hidden="false" customHeight="true" outlineLevel="0" collapsed="false">
      <c r="B8" s="4" t="s">
        <v>7</v>
      </c>
      <c r="C8" s="5" t="s">
        <v>8</v>
      </c>
      <c r="D8" s="5"/>
      <c r="E8" s="5"/>
      <c r="F8" s="5"/>
      <c r="G8" s="5"/>
      <c r="H8" s="5"/>
    </row>
    <row r="9" customFormat="false" ht="21.75" hidden="false" customHeight="true" outlineLevel="0" collapsed="false">
      <c r="B9" s="4" t="s">
        <v>9</v>
      </c>
      <c r="C9" s="5" t="s">
        <v>8</v>
      </c>
      <c r="D9" s="5"/>
      <c r="E9" s="5"/>
      <c r="F9" s="5"/>
      <c r="G9" s="5"/>
      <c r="H9" s="5"/>
    </row>
    <row r="10" customFormat="false" ht="21.75" hidden="false" customHeight="true" outlineLevel="0" collapsed="false">
      <c r="B10" s="4" t="s">
        <v>10</v>
      </c>
      <c r="C10" s="5" t="s">
        <v>8</v>
      </c>
      <c r="D10" s="5"/>
      <c r="E10" s="5"/>
      <c r="F10" s="5"/>
      <c r="G10" s="5"/>
      <c r="H10" s="5"/>
    </row>
    <row r="11" customFormat="false" ht="21.75" hidden="false" customHeight="true" outlineLevel="0" collapsed="false">
      <c r="B11" s="4" t="s">
        <v>11</v>
      </c>
      <c r="C11" s="5" t="s">
        <v>12</v>
      </c>
      <c r="D11" s="5"/>
      <c r="E11" s="5"/>
      <c r="F11" s="5"/>
      <c r="G11" s="5"/>
      <c r="H11" s="5"/>
    </row>
    <row r="12" customFormat="false" ht="21.75" hidden="false" customHeight="true" outlineLevel="0" collapsed="false">
      <c r="B12" s="4" t="s">
        <v>13</v>
      </c>
      <c r="C12" s="5" t="s">
        <v>14</v>
      </c>
      <c r="D12" s="5"/>
      <c r="E12" s="5"/>
      <c r="F12" s="5"/>
      <c r="G12" s="5"/>
      <c r="H12" s="5"/>
    </row>
    <row r="13" customFormat="false" ht="21.75" hidden="false" customHeight="true" outlineLevel="0" collapsed="false">
      <c r="B13" s="4" t="s">
        <v>15</v>
      </c>
      <c r="C13" s="5" t="s">
        <v>16</v>
      </c>
      <c r="D13" s="5"/>
      <c r="E13" s="5"/>
      <c r="F13" s="5"/>
      <c r="G13" s="5"/>
      <c r="H13" s="5"/>
    </row>
    <row r="14" customFormat="false" ht="21.75" hidden="false" customHeight="true" outlineLevel="0" collapsed="false">
      <c r="B14" s="4" t="s">
        <v>17</v>
      </c>
      <c r="C14" s="5" t="s">
        <v>18</v>
      </c>
      <c r="D14" s="5"/>
      <c r="E14" s="5"/>
      <c r="F14" s="5"/>
      <c r="G14" s="5"/>
      <c r="H14" s="5"/>
    </row>
    <row r="15" customFormat="false" ht="21.75" hidden="false" customHeight="true" outlineLevel="0" collapsed="false">
      <c r="B15" s="4" t="s">
        <v>19</v>
      </c>
      <c r="C15" s="5" t="s">
        <v>20</v>
      </c>
      <c r="D15" s="5"/>
      <c r="E15" s="5"/>
      <c r="F15" s="5"/>
      <c r="G15" s="5"/>
      <c r="H15" s="5"/>
    </row>
    <row r="16" customFormat="false" ht="21.75" hidden="false" customHeight="true" outlineLevel="0" collapsed="false">
      <c r="B16" s="4" t="s">
        <v>21</v>
      </c>
      <c r="C16" s="5" t="s">
        <v>22</v>
      </c>
      <c r="D16" s="5"/>
      <c r="E16" s="5"/>
      <c r="F16" s="5"/>
      <c r="G16" s="5"/>
      <c r="H16" s="5"/>
    </row>
    <row r="19" customFormat="false" ht="17.35" hidden="false" customHeight="false" outlineLevel="0" collapsed="false">
      <c r="B19" s="6" t="s">
        <v>23</v>
      </c>
    </row>
    <row r="20" customFormat="false" ht="27.75" hidden="false" customHeight="true" outlineLevel="0" collapsed="false">
      <c r="B20" s="7" t="s">
        <v>24</v>
      </c>
      <c r="C20" s="7"/>
      <c r="D20" s="7"/>
      <c r="E20" s="7"/>
      <c r="F20" s="7"/>
      <c r="G20" s="7"/>
      <c r="H20" s="7"/>
    </row>
    <row r="21" customFormat="false" ht="27.75" hidden="false" customHeight="true" outlineLevel="0" collapsed="false">
      <c r="B21" s="7" t="s">
        <v>25</v>
      </c>
      <c r="C21" s="7"/>
      <c r="D21" s="7"/>
      <c r="E21" s="7"/>
      <c r="F21" s="7"/>
      <c r="G21" s="7"/>
      <c r="H21" s="7"/>
    </row>
    <row r="22" customFormat="false" ht="27.75" hidden="false" customHeight="true" outlineLevel="0" collapsed="false">
      <c r="B22" s="7" t="s">
        <v>26</v>
      </c>
      <c r="C22" s="7"/>
      <c r="D22" s="7"/>
      <c r="E22" s="7"/>
      <c r="F22" s="7"/>
      <c r="G22" s="7"/>
      <c r="H22" s="7"/>
    </row>
    <row r="23" customFormat="false" ht="27.75" hidden="false" customHeight="true" outlineLevel="0" collapsed="false">
      <c r="B23" s="7" t="s">
        <v>27</v>
      </c>
      <c r="C23" s="7"/>
      <c r="D23" s="7"/>
      <c r="E23" s="7"/>
      <c r="F23" s="7"/>
      <c r="G23" s="7"/>
      <c r="H23" s="7"/>
    </row>
    <row r="24" customFormat="false" ht="27.75" hidden="false" customHeight="true" outlineLevel="0" collapsed="false">
      <c r="B24" s="7" t="s">
        <v>28</v>
      </c>
      <c r="C24" s="7"/>
      <c r="D24" s="7"/>
      <c r="E24" s="7"/>
      <c r="F24" s="7"/>
      <c r="G24" s="7"/>
      <c r="H24" s="7"/>
    </row>
    <row r="25" customFormat="false" ht="27.75" hidden="false" customHeight="true" outlineLevel="0" collapsed="false">
      <c r="B25" s="7" t="s">
        <v>29</v>
      </c>
      <c r="C25" s="7"/>
      <c r="D25" s="7"/>
      <c r="E25" s="7"/>
      <c r="F25" s="7"/>
      <c r="G25" s="7"/>
      <c r="H25" s="7"/>
    </row>
    <row r="26" customFormat="false" ht="27.75" hidden="false" customHeight="true" outlineLevel="0" collapsed="false">
      <c r="B26" s="7" t="s">
        <v>30</v>
      </c>
      <c r="C26" s="7"/>
      <c r="D26" s="7"/>
      <c r="E26" s="7"/>
      <c r="F26" s="7"/>
      <c r="G26" s="7"/>
      <c r="H26" s="7"/>
    </row>
    <row r="27" customFormat="false" ht="27.75" hidden="false" customHeight="true" outlineLevel="0" collapsed="false">
      <c r="B27" s="7" t="s">
        <v>31</v>
      </c>
      <c r="C27" s="7"/>
      <c r="D27" s="7"/>
      <c r="E27" s="7"/>
      <c r="F27" s="7"/>
      <c r="G27" s="7"/>
      <c r="H27" s="7"/>
    </row>
    <row r="28" customFormat="false" ht="27.75" hidden="false" customHeight="true" outlineLevel="0" collapsed="false">
      <c r="B28" s="7" t="s">
        <v>32</v>
      </c>
      <c r="C28" s="7"/>
      <c r="D28" s="7"/>
      <c r="E28" s="7"/>
      <c r="F28" s="7"/>
      <c r="G28" s="7"/>
      <c r="H28" s="7"/>
    </row>
    <row r="29" customFormat="false" ht="27.75" hidden="false" customHeight="true" outlineLevel="0" collapsed="false">
      <c r="B29" s="7" t="s">
        <v>33</v>
      </c>
      <c r="C29" s="7"/>
      <c r="D29" s="7"/>
      <c r="E29" s="7"/>
      <c r="F29" s="7"/>
      <c r="G29" s="7"/>
      <c r="H29" s="7"/>
    </row>
  </sheetData>
  <mergeCells count="21">
    <mergeCell ref="C6:H6"/>
    <mergeCell ref="C7:H7"/>
    <mergeCell ref="C8:H8"/>
    <mergeCell ref="C9:H9"/>
    <mergeCell ref="C10:H10"/>
    <mergeCell ref="C11:H11"/>
    <mergeCell ref="C12:H12"/>
    <mergeCell ref="C13:H13"/>
    <mergeCell ref="C14:H14"/>
    <mergeCell ref="C15:H15"/>
    <mergeCell ref="C16:H16"/>
    <mergeCell ref="B20:H20"/>
    <mergeCell ref="B21:H21"/>
    <mergeCell ref="B22:H22"/>
    <mergeCell ref="B23:H23"/>
    <mergeCell ref="B24:H24"/>
    <mergeCell ref="B25:H25"/>
    <mergeCell ref="B26:H26"/>
    <mergeCell ref="B27:H27"/>
    <mergeCell ref="B28:H28"/>
    <mergeCell ref="B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4"/>
    <col collapsed="false" customWidth="true" hidden="false" outlineLevel="0" max="4" min="4" style="0" width="12"/>
    <col collapsed="false" customWidth="true" hidden="false" outlineLevel="0" max="5" min="5" style="0" width="22"/>
    <col collapsed="false" customWidth="true" hidden="false" outlineLevel="0" max="6" min="6" style="0" width="18"/>
    <col collapsed="false" customWidth="true" hidden="false" outlineLevel="0" max="8" min="7" style="0" width="50"/>
    <col collapsed="false" customWidth="true" hidden="false" outlineLevel="0" max="9" min="9" style="0" width="16"/>
    <col collapsed="false" customWidth="true" hidden="false" outlineLevel="0" max="10" min="10" style="0" width="18"/>
    <col collapsed="false" customWidth="true" hidden="false" outlineLevel="0" max="12" min="11" style="0" width="16"/>
    <col collapsed="false" customWidth="true" hidden="false" outlineLevel="0" max="13" min="13" style="0" width="50"/>
    <col collapsed="false" customWidth="true" hidden="false" outlineLevel="0" max="14" min="14" style="0" width="14"/>
    <col collapsed="false" customWidth="true" hidden="false" outlineLevel="0" max="15" min="15" style="0" width="12"/>
    <col collapsed="false" customWidth="true" hidden="false" outlineLevel="0" max="16" min="16" style="0" width="30"/>
  </cols>
  <sheetData>
    <row r="1" customFormat="false" ht="36" hidden="false" customHeight="true" outlineLevel="0" collapsed="false">
      <c r="A1" s="8" t="s">
        <v>34</v>
      </c>
      <c r="B1" s="8" t="s">
        <v>35</v>
      </c>
      <c r="C1" s="8" t="s">
        <v>36</v>
      </c>
      <c r="D1" s="8" t="s">
        <v>37</v>
      </c>
      <c r="E1" s="8" t="s">
        <v>38</v>
      </c>
      <c r="F1" s="8" t="s">
        <v>39</v>
      </c>
      <c r="G1" s="8" t="s">
        <v>40</v>
      </c>
      <c r="H1" s="8" t="s">
        <v>41</v>
      </c>
      <c r="I1" s="8" t="s">
        <v>42</v>
      </c>
      <c r="J1" s="8" t="s">
        <v>43</v>
      </c>
      <c r="K1" s="8" t="s">
        <v>44</v>
      </c>
      <c r="L1" s="8" t="s">
        <v>45</v>
      </c>
      <c r="M1" s="8" t="s">
        <v>46</v>
      </c>
      <c r="N1" s="8" t="s">
        <v>47</v>
      </c>
      <c r="O1" s="8" t="s">
        <v>48</v>
      </c>
      <c r="P1" s="8" t="s">
        <v>49</v>
      </c>
    </row>
    <row r="2" customFormat="false" ht="109.5" hidden="false" customHeight="true" outlineLevel="0" collapsed="false">
      <c r="A2" s="9" t="s">
        <v>50</v>
      </c>
      <c r="B2" s="9" t="s">
        <v>51</v>
      </c>
      <c r="C2" s="9" t="s">
        <v>52</v>
      </c>
      <c r="D2" s="10" t="s">
        <v>53</v>
      </c>
      <c r="E2" s="9" t="s">
        <v>54</v>
      </c>
      <c r="F2" s="9" t="s">
        <v>55</v>
      </c>
      <c r="G2" s="9" t="s">
        <v>56</v>
      </c>
      <c r="H2" s="9" t="s">
        <v>57</v>
      </c>
      <c r="I2" s="9" t="s">
        <v>58</v>
      </c>
      <c r="J2" s="9" t="s">
        <v>59</v>
      </c>
      <c r="K2" s="9" t="s">
        <v>60</v>
      </c>
      <c r="L2" s="9" t="s">
        <v>61</v>
      </c>
      <c r="M2" s="9"/>
      <c r="N2" s="9"/>
      <c r="O2" s="9"/>
      <c r="P2" s="9" t="s">
        <v>62</v>
      </c>
    </row>
    <row r="3" customFormat="false" ht="109.5" hidden="false" customHeight="true" outlineLevel="0" collapsed="false">
      <c r="A3" s="9" t="s">
        <v>63</v>
      </c>
      <c r="B3" s="9" t="s">
        <v>51</v>
      </c>
      <c r="C3" s="9" t="s">
        <v>52</v>
      </c>
      <c r="D3" s="10" t="s">
        <v>53</v>
      </c>
      <c r="E3" s="9" t="s">
        <v>64</v>
      </c>
      <c r="F3" s="9" t="s">
        <v>65</v>
      </c>
      <c r="G3" s="9" t="s">
        <v>66</v>
      </c>
      <c r="H3" s="9" t="s">
        <v>67</v>
      </c>
      <c r="I3" s="9" t="s">
        <v>58</v>
      </c>
      <c r="J3" s="9" t="s">
        <v>68</v>
      </c>
      <c r="K3" s="9" t="s">
        <v>69</v>
      </c>
      <c r="L3" s="9" t="s">
        <v>61</v>
      </c>
      <c r="M3" s="9"/>
      <c r="N3" s="9"/>
      <c r="O3" s="9"/>
      <c r="P3" s="9" t="s">
        <v>70</v>
      </c>
    </row>
    <row r="4" customFormat="false" ht="109.5" hidden="false" customHeight="true" outlineLevel="0" collapsed="false">
      <c r="A4" s="9" t="s">
        <v>71</v>
      </c>
      <c r="B4" s="9" t="s">
        <v>51</v>
      </c>
      <c r="C4" s="9" t="s">
        <v>72</v>
      </c>
      <c r="D4" s="10" t="s">
        <v>53</v>
      </c>
      <c r="E4" s="9" t="s">
        <v>73</v>
      </c>
      <c r="F4" s="9" t="s">
        <v>74</v>
      </c>
      <c r="G4" s="9" t="s">
        <v>75</v>
      </c>
      <c r="H4" s="9" t="s">
        <v>76</v>
      </c>
      <c r="I4" s="9" t="s">
        <v>58</v>
      </c>
      <c r="J4" s="9" t="s">
        <v>77</v>
      </c>
      <c r="K4" s="9" t="s">
        <v>60</v>
      </c>
      <c r="L4" s="9" t="s">
        <v>61</v>
      </c>
      <c r="M4" s="9"/>
      <c r="N4" s="9"/>
      <c r="O4" s="9"/>
      <c r="P4" s="9" t="s">
        <v>78</v>
      </c>
    </row>
    <row r="5" customFormat="false" ht="60" hidden="false" customHeight="true" outlineLevel="0" collapsed="false">
      <c r="A5" s="11" t="s">
        <v>79</v>
      </c>
      <c r="B5" s="9"/>
      <c r="C5" s="9"/>
      <c r="D5" s="9"/>
      <c r="E5" s="9"/>
      <c r="F5" s="9"/>
      <c r="G5" s="9"/>
      <c r="H5" s="9"/>
      <c r="I5" s="9"/>
      <c r="J5" s="9"/>
      <c r="K5" s="9"/>
      <c r="L5" s="9"/>
      <c r="M5" s="9"/>
      <c r="N5" s="9"/>
      <c r="O5" s="9"/>
      <c r="P5" s="9"/>
    </row>
    <row r="6" customFormat="false" ht="60" hidden="false" customHeight="true" outlineLevel="0" collapsed="false">
      <c r="A6" s="11" t="s">
        <v>80</v>
      </c>
      <c r="B6" s="9"/>
      <c r="C6" s="9"/>
      <c r="D6" s="9"/>
      <c r="E6" s="9"/>
      <c r="F6" s="9"/>
      <c r="G6" s="9"/>
      <c r="H6" s="9"/>
      <c r="I6" s="9"/>
      <c r="J6" s="9"/>
      <c r="K6" s="9"/>
      <c r="L6" s="9"/>
      <c r="M6" s="9"/>
      <c r="N6" s="9"/>
      <c r="O6" s="9"/>
      <c r="P6" s="9"/>
    </row>
    <row r="7" customFormat="false" ht="60" hidden="false" customHeight="true" outlineLevel="0" collapsed="false">
      <c r="A7" s="11" t="s">
        <v>81</v>
      </c>
      <c r="B7" s="9"/>
      <c r="C7" s="9"/>
      <c r="D7" s="9"/>
      <c r="E7" s="9"/>
      <c r="F7" s="9"/>
      <c r="G7" s="9"/>
      <c r="H7" s="9"/>
      <c r="I7" s="9"/>
      <c r="J7" s="9"/>
      <c r="K7" s="9"/>
      <c r="L7" s="9"/>
      <c r="M7" s="9"/>
      <c r="N7" s="9"/>
      <c r="O7" s="9"/>
      <c r="P7" s="9"/>
    </row>
    <row r="8" customFormat="false" ht="60" hidden="false" customHeight="true" outlineLevel="0" collapsed="false">
      <c r="A8" s="11" t="s">
        <v>82</v>
      </c>
      <c r="B8" s="9"/>
      <c r="C8" s="9"/>
      <c r="D8" s="9"/>
      <c r="E8" s="9"/>
      <c r="F8" s="9"/>
      <c r="G8" s="9"/>
      <c r="H8" s="9"/>
      <c r="I8" s="9"/>
      <c r="J8" s="9"/>
      <c r="K8" s="9"/>
      <c r="L8" s="9"/>
      <c r="M8" s="9"/>
      <c r="N8" s="9"/>
      <c r="O8" s="9"/>
      <c r="P8" s="9"/>
    </row>
    <row r="9" customFormat="false" ht="60" hidden="false" customHeight="true" outlineLevel="0" collapsed="false">
      <c r="A9" s="11" t="s">
        <v>83</v>
      </c>
      <c r="B9" s="9"/>
      <c r="C9" s="9"/>
      <c r="D9" s="9"/>
      <c r="E9" s="9"/>
      <c r="F9" s="9"/>
      <c r="G9" s="9"/>
      <c r="H9" s="9"/>
      <c r="I9" s="9"/>
      <c r="J9" s="9"/>
      <c r="K9" s="9"/>
      <c r="L9" s="9"/>
      <c r="M9" s="9"/>
      <c r="N9" s="9"/>
      <c r="O9" s="9"/>
      <c r="P9" s="9"/>
    </row>
    <row r="10" customFormat="false" ht="60" hidden="false" customHeight="true" outlineLevel="0" collapsed="false">
      <c r="A10" s="11" t="s">
        <v>84</v>
      </c>
      <c r="B10" s="9"/>
      <c r="C10" s="9"/>
      <c r="D10" s="9"/>
      <c r="E10" s="9"/>
      <c r="F10" s="9"/>
      <c r="G10" s="9"/>
      <c r="H10" s="9"/>
      <c r="I10" s="9"/>
      <c r="J10" s="9"/>
      <c r="K10" s="9"/>
      <c r="L10" s="9"/>
      <c r="M10" s="9"/>
      <c r="N10" s="9"/>
      <c r="O10" s="9"/>
      <c r="P10" s="9"/>
    </row>
    <row r="11" customFormat="false" ht="60" hidden="false" customHeight="true" outlineLevel="0" collapsed="false">
      <c r="A11" s="11" t="s">
        <v>85</v>
      </c>
      <c r="B11" s="9"/>
      <c r="C11" s="9"/>
      <c r="D11" s="9"/>
      <c r="E11" s="9"/>
      <c r="F11" s="9"/>
      <c r="G11" s="9"/>
      <c r="H11" s="9"/>
      <c r="I11" s="9"/>
      <c r="J11" s="9"/>
      <c r="K11" s="9"/>
      <c r="L11" s="9"/>
      <c r="M11" s="9"/>
      <c r="N11" s="9"/>
      <c r="O11" s="9"/>
      <c r="P11" s="9"/>
    </row>
    <row r="12" customFormat="false" ht="60" hidden="false" customHeight="true" outlineLevel="0" collapsed="false">
      <c r="A12" s="11" t="s">
        <v>86</v>
      </c>
      <c r="B12" s="9"/>
      <c r="C12" s="9"/>
      <c r="D12" s="9"/>
      <c r="E12" s="9"/>
      <c r="F12" s="9"/>
      <c r="G12" s="9"/>
      <c r="H12" s="9"/>
      <c r="I12" s="9"/>
      <c r="J12" s="9"/>
      <c r="K12" s="9"/>
      <c r="L12" s="9"/>
      <c r="M12" s="9"/>
      <c r="N12" s="9"/>
      <c r="O12" s="9"/>
      <c r="P12" s="9"/>
    </row>
    <row r="13" customFormat="false" ht="60" hidden="false" customHeight="true" outlineLevel="0" collapsed="false">
      <c r="A13" s="11" t="s">
        <v>87</v>
      </c>
      <c r="B13" s="9"/>
      <c r="C13" s="9"/>
      <c r="D13" s="9"/>
      <c r="E13" s="9"/>
      <c r="F13" s="9"/>
      <c r="G13" s="9"/>
      <c r="H13" s="9"/>
      <c r="I13" s="9"/>
      <c r="J13" s="9"/>
      <c r="K13" s="9"/>
      <c r="L13" s="9"/>
      <c r="M13" s="9"/>
      <c r="N13" s="9"/>
      <c r="O13" s="9"/>
      <c r="P13" s="9"/>
    </row>
    <row r="14" customFormat="false" ht="60" hidden="false" customHeight="true" outlineLevel="0" collapsed="false">
      <c r="A14" s="11" t="s">
        <v>88</v>
      </c>
      <c r="B14" s="9"/>
      <c r="C14" s="9"/>
      <c r="D14" s="9"/>
      <c r="E14" s="9"/>
      <c r="F14" s="9"/>
      <c r="G14" s="9"/>
      <c r="H14" s="9"/>
      <c r="I14" s="9"/>
      <c r="J14" s="9"/>
      <c r="K14" s="9"/>
      <c r="L14" s="9"/>
      <c r="M14" s="9"/>
      <c r="N14" s="9"/>
      <c r="O14" s="9"/>
      <c r="P14" s="9"/>
    </row>
    <row r="15" customFormat="false" ht="60" hidden="false" customHeight="true" outlineLevel="0" collapsed="false">
      <c r="A15" s="11" t="s">
        <v>89</v>
      </c>
      <c r="B15" s="9"/>
      <c r="C15" s="9"/>
      <c r="D15" s="9"/>
      <c r="E15" s="9"/>
      <c r="F15" s="9"/>
      <c r="G15" s="9"/>
      <c r="H15" s="9"/>
      <c r="I15" s="9"/>
      <c r="J15" s="9"/>
      <c r="K15" s="9"/>
      <c r="L15" s="9"/>
      <c r="M15" s="9"/>
      <c r="N15" s="9"/>
      <c r="O15" s="9"/>
      <c r="P15" s="9"/>
    </row>
    <row r="16" customFormat="false" ht="60" hidden="false" customHeight="true" outlineLevel="0" collapsed="false">
      <c r="A16" s="11" t="s">
        <v>90</v>
      </c>
      <c r="B16" s="9"/>
      <c r="C16" s="9"/>
      <c r="D16" s="9"/>
      <c r="E16" s="9"/>
      <c r="F16" s="9"/>
      <c r="G16" s="9"/>
      <c r="H16" s="9"/>
      <c r="I16" s="9"/>
      <c r="J16" s="9"/>
      <c r="K16" s="9"/>
      <c r="L16" s="9"/>
      <c r="M16" s="9"/>
      <c r="N16" s="9"/>
      <c r="O16" s="9"/>
      <c r="P16" s="9"/>
    </row>
    <row r="17" customFormat="false" ht="60" hidden="false" customHeight="true" outlineLevel="0" collapsed="false">
      <c r="A17" s="11" t="s">
        <v>91</v>
      </c>
      <c r="B17" s="9"/>
      <c r="C17" s="9"/>
      <c r="D17" s="9"/>
      <c r="E17" s="9"/>
      <c r="F17" s="9"/>
      <c r="G17" s="9"/>
      <c r="H17" s="9"/>
      <c r="I17" s="9"/>
      <c r="J17" s="9"/>
      <c r="K17" s="9"/>
      <c r="L17" s="9"/>
      <c r="M17" s="9"/>
      <c r="N17" s="9"/>
      <c r="O17" s="9"/>
      <c r="P17" s="9"/>
    </row>
    <row r="18" customFormat="false" ht="60" hidden="false" customHeight="true" outlineLevel="0" collapsed="false">
      <c r="A18" s="11" t="s">
        <v>92</v>
      </c>
      <c r="B18" s="9"/>
      <c r="C18" s="9"/>
      <c r="D18" s="9"/>
      <c r="E18" s="9"/>
      <c r="F18" s="9"/>
      <c r="G18" s="9"/>
      <c r="H18" s="9"/>
      <c r="I18" s="9"/>
      <c r="J18" s="9"/>
      <c r="K18" s="9"/>
      <c r="L18" s="9"/>
      <c r="M18" s="9"/>
      <c r="N18" s="9"/>
      <c r="O18" s="9"/>
      <c r="P18" s="9"/>
    </row>
    <row r="19" customFormat="false" ht="60" hidden="false" customHeight="true" outlineLevel="0" collapsed="false">
      <c r="A19" s="11" t="s">
        <v>93</v>
      </c>
      <c r="B19" s="9"/>
      <c r="C19" s="9"/>
      <c r="D19" s="9"/>
      <c r="E19" s="9"/>
      <c r="F19" s="9"/>
      <c r="G19" s="9"/>
      <c r="H19" s="9"/>
      <c r="I19" s="9"/>
      <c r="J19" s="9"/>
      <c r="K19" s="9"/>
      <c r="L19" s="9"/>
      <c r="M19" s="9"/>
      <c r="N19" s="9"/>
      <c r="O19" s="9"/>
      <c r="P19" s="9"/>
    </row>
    <row r="20" customFormat="false" ht="60" hidden="false" customHeight="true" outlineLevel="0" collapsed="false">
      <c r="A20" s="11" t="s">
        <v>94</v>
      </c>
      <c r="B20" s="9"/>
      <c r="C20" s="9"/>
      <c r="D20" s="9"/>
      <c r="E20" s="9"/>
      <c r="F20" s="9"/>
      <c r="G20" s="9"/>
      <c r="H20" s="9"/>
      <c r="I20" s="9"/>
      <c r="J20" s="9"/>
      <c r="K20" s="9"/>
      <c r="L20" s="9"/>
      <c r="M20" s="9"/>
      <c r="N20" s="9"/>
      <c r="O20" s="9"/>
      <c r="P20" s="9"/>
    </row>
    <row r="21" customFormat="false" ht="60" hidden="false" customHeight="true" outlineLevel="0" collapsed="false">
      <c r="A21" s="11" t="s">
        <v>95</v>
      </c>
      <c r="B21" s="9"/>
      <c r="C21" s="9"/>
      <c r="D21" s="9"/>
      <c r="E21" s="9"/>
      <c r="F21" s="9"/>
      <c r="G21" s="9"/>
      <c r="H21" s="9"/>
      <c r="I21" s="9"/>
      <c r="J21" s="9"/>
      <c r="K21" s="9"/>
      <c r="L21" s="9"/>
      <c r="M21" s="9"/>
      <c r="N21" s="9"/>
      <c r="O21" s="9"/>
      <c r="P21" s="9"/>
    </row>
    <row r="22" customFormat="false" ht="60" hidden="false" customHeight="true" outlineLevel="0" collapsed="false">
      <c r="A22" s="11" t="s">
        <v>96</v>
      </c>
      <c r="B22" s="9"/>
      <c r="C22" s="9"/>
      <c r="D22" s="9"/>
      <c r="E22" s="9"/>
      <c r="F22" s="9"/>
      <c r="G22" s="9"/>
      <c r="H22" s="9"/>
      <c r="I22" s="9"/>
      <c r="J22" s="9"/>
      <c r="K22" s="9"/>
      <c r="L22" s="9"/>
      <c r="M22" s="9"/>
      <c r="N22" s="9"/>
      <c r="O22" s="9"/>
      <c r="P22" s="9"/>
    </row>
    <row r="23" customFormat="false" ht="60" hidden="false" customHeight="true" outlineLevel="0" collapsed="false">
      <c r="A23" s="11" t="s">
        <v>97</v>
      </c>
      <c r="B23" s="9"/>
      <c r="C23" s="9"/>
      <c r="D23" s="9"/>
      <c r="E23" s="9"/>
      <c r="F23" s="9"/>
      <c r="G23" s="9"/>
      <c r="H23" s="9"/>
      <c r="I23" s="9"/>
      <c r="J23" s="9"/>
      <c r="K23" s="9"/>
      <c r="L23" s="9"/>
      <c r="M23" s="9"/>
      <c r="N23" s="9"/>
      <c r="O23" s="9"/>
      <c r="P23" s="9"/>
    </row>
    <row r="24" customFormat="false" ht="60" hidden="false" customHeight="true" outlineLevel="0" collapsed="false">
      <c r="A24" s="11" t="s">
        <v>98</v>
      </c>
      <c r="B24" s="9"/>
      <c r="C24" s="9"/>
      <c r="D24" s="9"/>
      <c r="E24" s="9"/>
      <c r="F24" s="9"/>
      <c r="G24" s="9"/>
      <c r="H24" s="9"/>
      <c r="I24" s="9"/>
      <c r="J24" s="9"/>
      <c r="K24" s="9"/>
      <c r="L24" s="9"/>
      <c r="M24" s="9"/>
      <c r="N24" s="9"/>
      <c r="O24" s="9"/>
      <c r="P24" s="9"/>
    </row>
    <row r="25" customFormat="false" ht="60" hidden="false" customHeight="true" outlineLevel="0" collapsed="false">
      <c r="A25" s="11" t="s">
        <v>99</v>
      </c>
      <c r="B25" s="9"/>
      <c r="C25" s="9"/>
      <c r="D25" s="9"/>
      <c r="E25" s="9"/>
      <c r="F25" s="9"/>
      <c r="G25" s="9"/>
      <c r="H25" s="9"/>
      <c r="I25" s="9"/>
      <c r="J25" s="9"/>
      <c r="K25" s="9"/>
      <c r="L25" s="9"/>
      <c r="M25" s="9"/>
      <c r="N25" s="9"/>
      <c r="O25" s="9"/>
      <c r="P25" s="9"/>
    </row>
    <row r="26" customFormat="false" ht="60" hidden="false" customHeight="true" outlineLevel="0" collapsed="false">
      <c r="A26" s="11" t="s">
        <v>100</v>
      </c>
      <c r="B26" s="9"/>
      <c r="C26" s="9"/>
      <c r="D26" s="9"/>
      <c r="E26" s="9"/>
      <c r="F26" s="9"/>
      <c r="G26" s="9"/>
      <c r="H26" s="9"/>
      <c r="I26" s="9"/>
      <c r="J26" s="9"/>
      <c r="K26" s="9"/>
      <c r="L26" s="9"/>
      <c r="M26" s="9"/>
      <c r="N26" s="9"/>
      <c r="O26" s="9"/>
      <c r="P26" s="9"/>
    </row>
    <row r="27" customFormat="false" ht="60" hidden="false" customHeight="true" outlineLevel="0" collapsed="false">
      <c r="A27" s="11" t="s">
        <v>101</v>
      </c>
      <c r="B27" s="9"/>
      <c r="C27" s="9"/>
      <c r="D27" s="9"/>
      <c r="E27" s="9"/>
      <c r="F27" s="9"/>
      <c r="G27" s="9"/>
      <c r="H27" s="9"/>
      <c r="I27" s="9"/>
      <c r="J27" s="9"/>
      <c r="K27" s="9"/>
      <c r="L27" s="9"/>
      <c r="M27" s="9"/>
      <c r="N27" s="9"/>
      <c r="O27" s="9"/>
      <c r="P27" s="9"/>
    </row>
    <row r="28" customFormat="false" ht="60" hidden="false" customHeight="true" outlineLevel="0" collapsed="false">
      <c r="A28" s="11" t="s">
        <v>102</v>
      </c>
      <c r="B28" s="9"/>
      <c r="C28" s="9"/>
      <c r="D28" s="9"/>
      <c r="E28" s="9"/>
      <c r="F28" s="9"/>
      <c r="G28" s="9"/>
      <c r="H28" s="9"/>
      <c r="I28" s="9"/>
      <c r="J28" s="9"/>
      <c r="K28" s="9"/>
      <c r="L28" s="9"/>
      <c r="M28" s="9"/>
      <c r="N28" s="9"/>
      <c r="O28" s="9"/>
      <c r="P28" s="9"/>
    </row>
    <row r="29" customFormat="false" ht="60" hidden="false" customHeight="true" outlineLevel="0" collapsed="false">
      <c r="A29" s="11" t="s">
        <v>103</v>
      </c>
      <c r="B29" s="9"/>
      <c r="C29" s="9"/>
      <c r="D29" s="9"/>
      <c r="E29" s="9"/>
      <c r="F29" s="9"/>
      <c r="G29" s="9"/>
      <c r="H29" s="9"/>
      <c r="I29" s="9"/>
      <c r="J29" s="9"/>
      <c r="K29" s="9"/>
      <c r="L29" s="9"/>
      <c r="M29" s="9"/>
      <c r="N29" s="9"/>
      <c r="O29" s="9"/>
      <c r="P29" s="9"/>
    </row>
    <row r="30" customFormat="false" ht="60" hidden="false" customHeight="true" outlineLevel="0" collapsed="false">
      <c r="A30" s="11" t="s">
        <v>104</v>
      </c>
      <c r="B30" s="9"/>
      <c r="C30" s="9"/>
      <c r="D30" s="9"/>
      <c r="E30" s="9"/>
      <c r="F30" s="9"/>
      <c r="G30" s="9"/>
      <c r="H30" s="9"/>
      <c r="I30" s="9"/>
      <c r="J30" s="9"/>
      <c r="K30" s="9"/>
      <c r="L30" s="9"/>
      <c r="M30" s="9"/>
      <c r="N30" s="9"/>
      <c r="O30" s="9"/>
      <c r="P30" s="9"/>
    </row>
    <row r="31" customFormat="false" ht="60" hidden="false" customHeight="true" outlineLevel="0" collapsed="false">
      <c r="A31" s="11" t="s">
        <v>105</v>
      </c>
      <c r="B31" s="9"/>
      <c r="C31" s="9"/>
      <c r="D31" s="9"/>
      <c r="E31" s="9"/>
      <c r="F31" s="9"/>
      <c r="G31" s="9"/>
      <c r="H31" s="9"/>
      <c r="I31" s="9"/>
      <c r="J31" s="9"/>
      <c r="K31" s="9"/>
      <c r="L31" s="9"/>
      <c r="M31" s="9"/>
      <c r="N31" s="9"/>
      <c r="O31" s="9"/>
      <c r="P31" s="9"/>
    </row>
    <row r="32" customFormat="false" ht="60" hidden="false" customHeight="true" outlineLevel="0" collapsed="false">
      <c r="A32" s="11" t="s">
        <v>106</v>
      </c>
      <c r="B32" s="9"/>
      <c r="C32" s="9"/>
      <c r="D32" s="9"/>
      <c r="E32" s="9"/>
      <c r="F32" s="9"/>
      <c r="G32" s="9"/>
      <c r="H32" s="9"/>
      <c r="I32" s="9"/>
      <c r="J32" s="9"/>
      <c r="K32" s="9"/>
      <c r="L32" s="9"/>
      <c r="M32" s="9"/>
      <c r="N32" s="9"/>
      <c r="O32" s="9"/>
      <c r="P32" s="9"/>
    </row>
    <row r="33" customFormat="false" ht="60" hidden="false" customHeight="true" outlineLevel="0" collapsed="false">
      <c r="A33" s="11" t="s">
        <v>107</v>
      </c>
      <c r="B33" s="9"/>
      <c r="C33" s="9"/>
      <c r="D33" s="9"/>
      <c r="E33" s="9"/>
      <c r="F33" s="9"/>
      <c r="G33" s="9"/>
      <c r="H33" s="9"/>
      <c r="I33" s="9"/>
      <c r="J33" s="9"/>
      <c r="K33" s="9"/>
      <c r="L33" s="9"/>
      <c r="M33" s="9"/>
      <c r="N33" s="9"/>
      <c r="O33" s="9"/>
      <c r="P33" s="9"/>
    </row>
    <row r="34" customFormat="false" ht="60" hidden="false" customHeight="true" outlineLevel="0" collapsed="false">
      <c r="A34" s="11" t="s">
        <v>108</v>
      </c>
      <c r="B34" s="9"/>
      <c r="C34" s="9"/>
      <c r="D34" s="9"/>
      <c r="E34" s="9"/>
      <c r="F34" s="9"/>
      <c r="G34" s="9"/>
      <c r="H34" s="9"/>
      <c r="I34" s="9"/>
      <c r="J34" s="9"/>
      <c r="K34" s="9"/>
      <c r="L34" s="9"/>
      <c r="M34" s="9"/>
      <c r="N34" s="9"/>
      <c r="O34" s="9"/>
      <c r="P34" s="9"/>
    </row>
    <row r="35" customFormat="false" ht="60" hidden="false" customHeight="true" outlineLevel="0" collapsed="false">
      <c r="A35" s="11" t="s">
        <v>109</v>
      </c>
      <c r="B35" s="9"/>
      <c r="C35" s="9"/>
      <c r="D35" s="9"/>
      <c r="E35" s="9"/>
      <c r="F35" s="9"/>
      <c r="G35" s="9"/>
      <c r="H35" s="9"/>
      <c r="I35" s="9"/>
      <c r="J35" s="9"/>
      <c r="K35" s="9"/>
      <c r="L35" s="9"/>
      <c r="M35" s="9"/>
      <c r="N35" s="9"/>
      <c r="O35" s="9"/>
      <c r="P35" s="9"/>
    </row>
    <row r="36" customFormat="false" ht="60" hidden="false" customHeight="true" outlineLevel="0" collapsed="false">
      <c r="A36" s="11" t="s">
        <v>110</v>
      </c>
      <c r="B36" s="9"/>
      <c r="C36" s="9"/>
      <c r="D36" s="9"/>
      <c r="E36" s="9"/>
      <c r="F36" s="9"/>
      <c r="G36" s="9"/>
      <c r="H36" s="9"/>
      <c r="I36" s="9"/>
      <c r="J36" s="9"/>
      <c r="K36" s="9"/>
      <c r="L36" s="9"/>
      <c r="M36" s="9"/>
      <c r="N36" s="9"/>
      <c r="O36" s="9"/>
      <c r="P36" s="9"/>
    </row>
    <row r="37" customFormat="false" ht="60" hidden="false" customHeight="true" outlineLevel="0" collapsed="false">
      <c r="A37" s="11" t="s">
        <v>111</v>
      </c>
      <c r="B37" s="9"/>
      <c r="C37" s="9"/>
      <c r="D37" s="9"/>
      <c r="E37" s="9"/>
      <c r="F37" s="9"/>
      <c r="G37" s="9"/>
      <c r="H37" s="9"/>
      <c r="I37" s="9"/>
      <c r="J37" s="9"/>
      <c r="K37" s="9"/>
      <c r="L37" s="9"/>
      <c r="M37" s="9"/>
      <c r="N37" s="9"/>
      <c r="O37" s="9"/>
      <c r="P37" s="9"/>
    </row>
    <row r="38" customFormat="false" ht="60" hidden="false" customHeight="true" outlineLevel="0" collapsed="false">
      <c r="A38" s="11" t="s">
        <v>112</v>
      </c>
      <c r="B38" s="9"/>
      <c r="C38" s="9"/>
      <c r="D38" s="9"/>
      <c r="E38" s="9"/>
      <c r="F38" s="9"/>
      <c r="G38" s="9"/>
      <c r="H38" s="9"/>
      <c r="I38" s="9"/>
      <c r="J38" s="9"/>
      <c r="K38" s="9"/>
      <c r="L38" s="9"/>
      <c r="M38" s="9"/>
      <c r="N38" s="9"/>
      <c r="O38" s="9"/>
      <c r="P38" s="9"/>
    </row>
    <row r="39" customFormat="false" ht="60" hidden="false" customHeight="true" outlineLevel="0" collapsed="false">
      <c r="A39" s="11" t="s">
        <v>113</v>
      </c>
      <c r="B39" s="9"/>
      <c r="C39" s="9"/>
      <c r="D39" s="9"/>
      <c r="E39" s="9"/>
      <c r="F39" s="9"/>
      <c r="G39" s="9"/>
      <c r="H39" s="9"/>
      <c r="I39" s="9"/>
      <c r="J39" s="9"/>
      <c r="K39" s="9"/>
      <c r="L39" s="9"/>
      <c r="M39" s="9"/>
      <c r="N39" s="9"/>
      <c r="O39" s="9"/>
      <c r="P39" s="9"/>
    </row>
    <row r="40" customFormat="false" ht="60" hidden="false" customHeight="true" outlineLevel="0" collapsed="false">
      <c r="A40" s="11" t="s">
        <v>114</v>
      </c>
      <c r="B40" s="9"/>
      <c r="C40" s="9"/>
      <c r="D40" s="9"/>
      <c r="E40" s="9"/>
      <c r="F40" s="9"/>
      <c r="G40" s="9"/>
      <c r="H40" s="9"/>
      <c r="I40" s="9"/>
      <c r="J40" s="9"/>
      <c r="K40" s="9"/>
      <c r="L40" s="9"/>
      <c r="M40" s="9"/>
      <c r="N40" s="9"/>
      <c r="O40" s="9"/>
      <c r="P40" s="9"/>
    </row>
    <row r="41" customFormat="false" ht="60" hidden="false" customHeight="true" outlineLevel="0" collapsed="false">
      <c r="A41" s="11" t="s">
        <v>115</v>
      </c>
      <c r="B41" s="9"/>
      <c r="C41" s="9"/>
      <c r="D41" s="9"/>
      <c r="E41" s="9"/>
      <c r="F41" s="9"/>
      <c r="G41" s="9"/>
      <c r="H41" s="9"/>
      <c r="I41" s="9"/>
      <c r="J41" s="9"/>
      <c r="K41" s="9"/>
      <c r="L41" s="9"/>
      <c r="M41" s="9"/>
      <c r="N41" s="9"/>
      <c r="O41" s="9"/>
      <c r="P41" s="9"/>
    </row>
    <row r="42" customFormat="false" ht="60" hidden="false" customHeight="true" outlineLevel="0" collapsed="false">
      <c r="A42" s="11" t="s">
        <v>116</v>
      </c>
      <c r="B42" s="9"/>
      <c r="C42" s="9"/>
      <c r="D42" s="9"/>
      <c r="E42" s="9"/>
      <c r="F42" s="9"/>
      <c r="G42" s="9"/>
      <c r="H42" s="9"/>
      <c r="I42" s="9"/>
      <c r="J42" s="9"/>
      <c r="K42" s="9"/>
      <c r="L42" s="9"/>
      <c r="M42" s="9"/>
      <c r="N42" s="9"/>
      <c r="O42" s="9"/>
      <c r="P42" s="9"/>
    </row>
    <row r="43" customFormat="false" ht="60" hidden="false" customHeight="true" outlineLevel="0" collapsed="false">
      <c r="A43" s="11" t="s">
        <v>117</v>
      </c>
      <c r="B43" s="9"/>
      <c r="C43" s="9"/>
      <c r="D43" s="9"/>
      <c r="E43" s="9"/>
      <c r="F43" s="9"/>
      <c r="G43" s="9"/>
      <c r="H43" s="9"/>
      <c r="I43" s="9"/>
      <c r="J43" s="9"/>
      <c r="K43" s="9"/>
      <c r="L43" s="9"/>
      <c r="M43" s="9"/>
      <c r="N43" s="9"/>
      <c r="O43" s="9"/>
      <c r="P43" s="9"/>
    </row>
    <row r="44" customFormat="false" ht="60" hidden="false" customHeight="true" outlineLevel="0" collapsed="false">
      <c r="A44" s="11" t="s">
        <v>118</v>
      </c>
      <c r="B44" s="9"/>
      <c r="C44" s="9"/>
      <c r="D44" s="9"/>
      <c r="E44" s="9"/>
      <c r="F44" s="9"/>
      <c r="G44" s="9"/>
      <c r="H44" s="9"/>
      <c r="I44" s="9"/>
      <c r="J44" s="9"/>
      <c r="K44" s="9"/>
      <c r="L44" s="9"/>
      <c r="M44" s="9"/>
      <c r="N44" s="9"/>
      <c r="O44" s="9"/>
      <c r="P44" s="9"/>
    </row>
    <row r="45" customFormat="false" ht="60" hidden="false" customHeight="true" outlineLevel="0" collapsed="false">
      <c r="A45" s="11" t="s">
        <v>119</v>
      </c>
      <c r="B45" s="9"/>
      <c r="C45" s="9"/>
      <c r="D45" s="9"/>
      <c r="E45" s="9"/>
      <c r="F45" s="9"/>
      <c r="G45" s="9"/>
      <c r="H45" s="9"/>
      <c r="I45" s="9"/>
      <c r="J45" s="9"/>
      <c r="K45" s="9"/>
      <c r="L45" s="9"/>
      <c r="M45" s="9"/>
      <c r="N45" s="9"/>
      <c r="O45" s="9"/>
      <c r="P45" s="9"/>
    </row>
    <row r="46" customFormat="false" ht="60" hidden="false" customHeight="true" outlineLevel="0" collapsed="false">
      <c r="A46" s="11" t="s">
        <v>120</v>
      </c>
      <c r="B46" s="9"/>
      <c r="C46" s="9"/>
      <c r="D46" s="9"/>
      <c r="E46" s="9"/>
      <c r="F46" s="9"/>
      <c r="G46" s="9"/>
      <c r="H46" s="9"/>
      <c r="I46" s="9"/>
      <c r="J46" s="9"/>
      <c r="K46" s="9"/>
      <c r="L46" s="9"/>
      <c r="M46" s="9"/>
      <c r="N46" s="9"/>
      <c r="O46" s="9"/>
      <c r="P46" s="9"/>
    </row>
    <row r="47" customFormat="false" ht="60" hidden="false" customHeight="true" outlineLevel="0" collapsed="false">
      <c r="A47" s="11" t="s">
        <v>121</v>
      </c>
      <c r="B47" s="9"/>
      <c r="C47" s="9"/>
      <c r="D47" s="9"/>
      <c r="E47" s="9"/>
      <c r="F47" s="9"/>
      <c r="G47" s="9"/>
      <c r="H47" s="9"/>
      <c r="I47" s="9"/>
      <c r="J47" s="9"/>
      <c r="K47" s="9"/>
      <c r="L47" s="9"/>
      <c r="M47" s="9"/>
      <c r="N47" s="9"/>
      <c r="O47" s="9"/>
      <c r="P47" s="9"/>
    </row>
    <row r="48" customFormat="false" ht="60" hidden="false" customHeight="true" outlineLevel="0" collapsed="false">
      <c r="A48" s="11" t="s">
        <v>122</v>
      </c>
      <c r="B48" s="9"/>
      <c r="C48" s="9"/>
      <c r="D48" s="9"/>
      <c r="E48" s="9"/>
      <c r="F48" s="9"/>
      <c r="G48" s="9"/>
      <c r="H48" s="9"/>
      <c r="I48" s="9"/>
      <c r="J48" s="9"/>
      <c r="K48" s="9"/>
      <c r="L48" s="9"/>
      <c r="M48" s="9"/>
      <c r="N48" s="9"/>
      <c r="O48" s="9"/>
      <c r="P48" s="9"/>
    </row>
    <row r="49" customFormat="false" ht="60" hidden="false" customHeight="true" outlineLevel="0" collapsed="false">
      <c r="A49" s="11" t="s">
        <v>123</v>
      </c>
      <c r="B49" s="9"/>
      <c r="C49" s="9"/>
      <c r="D49" s="9"/>
      <c r="E49" s="9"/>
      <c r="F49" s="9"/>
      <c r="G49" s="9"/>
      <c r="H49" s="9"/>
      <c r="I49" s="9"/>
      <c r="J49" s="9"/>
      <c r="K49" s="9"/>
      <c r="L49" s="9"/>
      <c r="M49" s="9"/>
      <c r="N49" s="9"/>
      <c r="O49" s="9"/>
      <c r="P49" s="9"/>
    </row>
    <row r="50" customFormat="false" ht="60" hidden="false" customHeight="true" outlineLevel="0" collapsed="false">
      <c r="A50" s="11" t="s">
        <v>124</v>
      </c>
      <c r="B50" s="9"/>
      <c r="C50" s="9"/>
      <c r="D50" s="9"/>
      <c r="E50" s="9"/>
      <c r="F50" s="9"/>
      <c r="G50" s="9"/>
      <c r="H50" s="9"/>
      <c r="I50" s="9"/>
      <c r="J50" s="9"/>
      <c r="K50" s="9"/>
      <c r="L50" s="9"/>
      <c r="M50" s="9"/>
      <c r="N50" s="9"/>
      <c r="O50" s="9"/>
      <c r="P50" s="9"/>
    </row>
    <row r="51" customFormat="false" ht="60" hidden="false" customHeight="true" outlineLevel="0" collapsed="false">
      <c r="A51" s="11" t="s">
        <v>125</v>
      </c>
      <c r="B51" s="9"/>
      <c r="C51" s="9"/>
      <c r="D51" s="9"/>
      <c r="E51" s="9"/>
      <c r="F51" s="9"/>
      <c r="G51" s="9"/>
      <c r="H51" s="9"/>
      <c r="I51" s="9"/>
      <c r="J51" s="9"/>
      <c r="K51" s="9"/>
      <c r="L51" s="9"/>
      <c r="M51" s="9"/>
      <c r="N51" s="9"/>
      <c r="O51" s="9"/>
      <c r="P51" s="9"/>
    </row>
    <row r="52" customFormat="false" ht="60" hidden="false" customHeight="true" outlineLevel="0" collapsed="false">
      <c r="A52" s="11" t="s">
        <v>126</v>
      </c>
      <c r="B52" s="9"/>
      <c r="C52" s="9"/>
      <c r="D52" s="9"/>
      <c r="E52" s="9"/>
      <c r="F52" s="9"/>
      <c r="G52" s="9"/>
      <c r="H52" s="9"/>
      <c r="I52" s="9"/>
      <c r="J52" s="9"/>
      <c r="K52" s="9"/>
      <c r="L52" s="9"/>
      <c r="M52" s="9"/>
      <c r="N52" s="9"/>
      <c r="O52" s="9"/>
      <c r="P52" s="9"/>
    </row>
    <row r="53" customFormat="false" ht="60" hidden="false" customHeight="true" outlineLevel="0" collapsed="false">
      <c r="A53" s="11" t="s">
        <v>127</v>
      </c>
      <c r="B53" s="9"/>
      <c r="C53" s="9"/>
      <c r="D53" s="9"/>
      <c r="E53" s="9"/>
      <c r="F53" s="9"/>
      <c r="G53" s="9"/>
      <c r="H53" s="9"/>
      <c r="I53" s="9"/>
      <c r="J53" s="9"/>
      <c r="K53" s="9"/>
      <c r="L53" s="9"/>
      <c r="M53" s="9"/>
      <c r="N53" s="9"/>
      <c r="O53" s="9"/>
      <c r="P53" s="9"/>
    </row>
    <row r="54" customFormat="false" ht="60" hidden="false" customHeight="true" outlineLevel="0" collapsed="false">
      <c r="A54" s="11" t="s">
        <v>128</v>
      </c>
      <c r="B54" s="9"/>
      <c r="C54" s="9"/>
      <c r="D54" s="9"/>
      <c r="E54" s="9"/>
      <c r="F54" s="9"/>
      <c r="G54" s="9"/>
      <c r="H54" s="9"/>
      <c r="I54" s="9"/>
      <c r="J54" s="9"/>
      <c r="K54" s="9"/>
      <c r="L54" s="9"/>
      <c r="M54" s="9"/>
      <c r="N54" s="9"/>
      <c r="O54" s="9"/>
      <c r="P54" s="9"/>
    </row>
  </sheetData>
  <conditionalFormatting sqref="D2:D54">
    <cfRule type="expression" priority="2" aboveAverage="0" equalAverage="0" bottom="0" percent="0" rank="0" text="" dxfId="0">
      <formula>$D2="CRITICAL"</formula>
    </cfRule>
    <cfRule type="expression" priority="3" aboveAverage="0" equalAverage="0" bottom="0" percent="0" rank="0" text="" dxfId="1">
      <formula>$D2="HIGH"</formula>
    </cfRule>
    <cfRule type="expression" priority="4" aboveAverage="0" equalAverage="0" bottom="0" percent="0" rank="0" text="" dxfId="2">
      <formula>$D2="MEDIUM"</formula>
    </cfRule>
    <cfRule type="expression" priority="5" aboveAverage="0" equalAverage="0" bottom="0" percent="0" rank="0" text="" dxfId="3">
      <formula>$D2="LOW"</formula>
    </cfRule>
  </conditionalFormatting>
  <conditionalFormatting sqref="L2:L54">
    <cfRule type="expression" priority="6" aboveAverage="0" equalAverage="0" bottom="0" percent="0" rank="0" text="" dxfId="4">
      <formula>$L2="SUBMITTED"</formula>
    </cfRule>
    <cfRule type="expression" priority="7" aboveAverage="0" equalAverage="0" bottom="0" percent="0" rank="0" text="" dxfId="5">
      <formula>$L2="RESPONDED"</formula>
    </cfRule>
    <cfRule type="expression" priority="8" aboveAverage="0" equalAverage="0" bottom="0" percent="0" rank="0" text="" dxfId="3">
      <formula>$L2="CLOSED"</formula>
    </cfRule>
    <cfRule type="expression" priority="9" aboveAverage="0" equalAverage="0" bottom="0" percent="0" rank="0" text="" dxfId="6">
      <formula>$L2="WITHDRAWN"</formula>
    </cfRule>
    <cfRule type="expression" priority="10" aboveAverage="0" equalAverage="0" bottom="0" percent="0" rank="0" text="" dxfId="2">
      <formula>$L2="READY_TO_SUBMIT"</formula>
    </cfRule>
  </conditionalFormatting>
  <dataValidations count="5">
    <dataValidation allowBlank="true" error="Severity must be CRITICAL, HIGH, MEDIUM or LOW" errorStyle="stop" errorTitle="Invalid severity" operator="between" showDropDown="false" showErrorMessage="false" showInputMessage="false" sqref="D2:D54" type="list">
      <formula1>Lookups!$A$2:$A$5</formula1>
      <formula2>0</formula2>
    </dataValidation>
    <dataValidation allowBlank="true" errorStyle="stop" operator="between" showDropDown="false" showErrorMessage="false" showInputMessage="false" sqref="L2:L54" type="list">
      <formula1>Lookups!$B$2:$B$7</formula1>
      <formula2>0</formula2>
    </dataValidation>
    <dataValidation allowBlank="true" errorStyle="stop" operator="between" showDropDown="false" showErrorMessage="false" showInputMessage="false" sqref="C2:C54" type="list">
      <formula1>Lookups!$C$2:$C$7</formula1>
      <formula2>0</formula2>
    </dataValidation>
    <dataValidation allowBlank="true" errorStyle="stop" operator="between" showDropDown="false" showErrorMessage="false" showInputMessage="false" sqref="K2:K54" type="list">
      <formula1>Lookups!$D$2:$D$13</formula1>
      <formula2>0</formula2>
    </dataValidation>
    <dataValidation allowBlank="true" errorStyle="stop" operator="between" showDropDown="false" showErrorMessage="false" showInputMessage="false" sqref="O2:O54" type="list">
      <formula1>Lookups!$E$2:$E$4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5" min="1" style="0" width="22"/>
  </cols>
  <sheetData>
    <row r="1" customFormat="false" ht="15" hidden="false" customHeight="false" outlineLevel="0" collapsed="false">
      <c r="A1" s="12" t="s">
        <v>37</v>
      </c>
      <c r="B1" s="12" t="s">
        <v>45</v>
      </c>
      <c r="C1" s="12" t="s">
        <v>36</v>
      </c>
      <c r="D1" s="12" t="s">
        <v>129</v>
      </c>
      <c r="E1" s="12" t="s">
        <v>130</v>
      </c>
    </row>
    <row r="2" customFormat="false" ht="15" hidden="false" customHeight="false" outlineLevel="0" collapsed="false">
      <c r="A2" s="13" t="s">
        <v>53</v>
      </c>
      <c r="B2" s="13" t="s">
        <v>61</v>
      </c>
      <c r="C2" s="13" t="s">
        <v>131</v>
      </c>
      <c r="D2" s="13" t="s">
        <v>60</v>
      </c>
      <c r="E2" s="13" t="s">
        <v>132</v>
      </c>
    </row>
    <row r="3" customFormat="false" ht="15" hidden="false" customHeight="false" outlineLevel="0" collapsed="false">
      <c r="A3" s="13" t="s">
        <v>133</v>
      </c>
      <c r="B3" s="13" t="s">
        <v>134</v>
      </c>
      <c r="C3" s="13" t="s">
        <v>135</v>
      </c>
      <c r="D3" s="13" t="s">
        <v>136</v>
      </c>
      <c r="E3" s="13" t="s">
        <v>137</v>
      </c>
    </row>
    <row r="4" customFormat="false" ht="15" hidden="false" customHeight="false" outlineLevel="0" collapsed="false">
      <c r="A4" s="13" t="s">
        <v>138</v>
      </c>
      <c r="B4" s="13" t="s">
        <v>139</v>
      </c>
      <c r="C4" s="13" t="s">
        <v>140</v>
      </c>
      <c r="D4" s="13" t="s">
        <v>69</v>
      </c>
      <c r="E4" s="13" t="s">
        <v>141</v>
      </c>
    </row>
    <row r="5" customFormat="false" ht="15" hidden="false" customHeight="false" outlineLevel="0" collapsed="false">
      <c r="A5" s="13" t="s">
        <v>142</v>
      </c>
      <c r="B5" s="13" t="s">
        <v>143</v>
      </c>
      <c r="C5" s="13" t="s">
        <v>144</v>
      </c>
      <c r="D5" s="13" t="s">
        <v>145</v>
      </c>
    </row>
    <row r="6" customFormat="false" ht="15" hidden="false" customHeight="false" outlineLevel="0" collapsed="false">
      <c r="B6" s="13" t="s">
        <v>146</v>
      </c>
      <c r="C6" s="13" t="s">
        <v>72</v>
      </c>
      <c r="D6" s="13" t="s">
        <v>147</v>
      </c>
    </row>
    <row r="7" customFormat="false" ht="15" hidden="false" customHeight="false" outlineLevel="0" collapsed="false">
      <c r="B7" s="13" t="s">
        <v>148</v>
      </c>
      <c r="C7" s="13" t="s">
        <v>52</v>
      </c>
      <c r="D7" s="13" t="s">
        <v>149</v>
      </c>
    </row>
    <row r="8" customFormat="false" ht="15" hidden="false" customHeight="false" outlineLevel="0" collapsed="false">
      <c r="D8" s="13" t="s">
        <v>150</v>
      </c>
    </row>
    <row r="9" customFormat="false" ht="15" hidden="false" customHeight="false" outlineLevel="0" collapsed="false">
      <c r="D9" s="13" t="s">
        <v>151</v>
      </c>
    </row>
    <row r="10" customFormat="false" ht="15" hidden="false" customHeight="false" outlineLevel="0" collapsed="false">
      <c r="D10" s="13" t="s">
        <v>152</v>
      </c>
    </row>
    <row r="11" customFormat="false" ht="15" hidden="false" customHeight="false" outlineLevel="0" collapsed="false">
      <c r="D11" s="13" t="s">
        <v>153</v>
      </c>
    </row>
    <row r="12" customFormat="false" ht="15" hidden="false" customHeight="false" outlineLevel="0" collapsed="false">
      <c r="D12" s="13" t="s">
        <v>154</v>
      </c>
    </row>
    <row r="13" customFormat="false" ht="15" hidden="false" customHeight="false" outlineLevel="0" collapsed="false">
      <c r="D13" s="13"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22"/>
    <col collapsed="false" customWidth="true" hidden="false" outlineLevel="0" max="4" min="4" style="0" width="18"/>
    <col collapsed="false" customWidth="true" hidden="false" outlineLevel="0" max="5" min="5" style="0" width="22"/>
    <col collapsed="false" customWidth="true" hidden="false" outlineLevel="0" max="6" min="6" style="0" width="32"/>
    <col collapsed="false" customWidth="true" hidden="false" outlineLevel="0" max="8" min="7" style="0" width="22"/>
    <col collapsed="false" customWidth="true" hidden="false" outlineLevel="0" max="9" min="9" style="0" width="30"/>
  </cols>
  <sheetData>
    <row r="1" customFormat="false" ht="36" hidden="false" customHeight="true" outlineLevel="0" collapsed="false">
      <c r="A1" s="8" t="s">
        <v>34</v>
      </c>
      <c r="B1" s="8" t="s">
        <v>156</v>
      </c>
      <c r="C1" s="8" t="s">
        <v>157</v>
      </c>
      <c r="D1" s="8" t="s">
        <v>158</v>
      </c>
      <c r="E1" s="8" t="s">
        <v>159</v>
      </c>
      <c r="F1" s="8" t="s">
        <v>160</v>
      </c>
      <c r="G1" s="8" t="s">
        <v>161</v>
      </c>
      <c r="H1" s="8" t="s">
        <v>162</v>
      </c>
      <c r="I1" s="8" t="s">
        <v>49</v>
      </c>
    </row>
    <row r="2" customFormat="false" ht="30" hidden="false" customHeight="true" outlineLevel="0" collapsed="false">
      <c r="A2" s="11" t="s">
        <v>50</v>
      </c>
      <c r="B2" s="14"/>
      <c r="C2" s="14"/>
      <c r="D2" s="14"/>
      <c r="E2" s="14"/>
      <c r="F2" s="14"/>
      <c r="G2" s="14"/>
      <c r="H2" s="14"/>
      <c r="I2" s="14"/>
    </row>
    <row r="3" customFormat="false" ht="30" hidden="false" customHeight="true" outlineLevel="0" collapsed="false">
      <c r="A3" s="11" t="s">
        <v>63</v>
      </c>
      <c r="B3" s="14"/>
      <c r="C3" s="14"/>
      <c r="D3" s="14"/>
      <c r="E3" s="14"/>
      <c r="F3" s="14"/>
      <c r="G3" s="14"/>
      <c r="H3" s="14"/>
      <c r="I3" s="14"/>
    </row>
    <row r="4" customFormat="false" ht="30" hidden="false" customHeight="true" outlineLevel="0" collapsed="false">
      <c r="A4" s="11" t="s">
        <v>71</v>
      </c>
      <c r="B4" s="14"/>
      <c r="C4" s="14"/>
      <c r="D4" s="14"/>
      <c r="E4" s="14"/>
      <c r="F4" s="14"/>
      <c r="G4" s="14"/>
      <c r="H4" s="14"/>
      <c r="I4" s="14"/>
    </row>
    <row r="5" customFormat="false" ht="30" hidden="false" customHeight="true" outlineLevel="0" collapsed="false">
      <c r="A5" s="11" t="s">
        <v>79</v>
      </c>
      <c r="B5" s="14"/>
      <c r="C5" s="14"/>
      <c r="D5" s="14"/>
      <c r="E5" s="14"/>
      <c r="F5" s="14"/>
      <c r="G5" s="14"/>
      <c r="H5" s="14"/>
      <c r="I5" s="14"/>
    </row>
    <row r="6" customFormat="false" ht="30" hidden="false" customHeight="true" outlineLevel="0" collapsed="false">
      <c r="A6" s="11" t="s">
        <v>80</v>
      </c>
      <c r="B6" s="14"/>
      <c r="C6" s="14"/>
      <c r="D6" s="14"/>
      <c r="E6" s="14"/>
      <c r="F6" s="14"/>
      <c r="G6" s="14"/>
      <c r="H6" s="14"/>
      <c r="I6" s="14"/>
    </row>
    <row r="7" customFormat="false" ht="30" hidden="false" customHeight="true" outlineLevel="0" collapsed="false">
      <c r="A7" s="11" t="s">
        <v>81</v>
      </c>
      <c r="B7" s="14"/>
      <c r="C7" s="14"/>
      <c r="D7" s="14"/>
      <c r="E7" s="14"/>
      <c r="F7" s="14"/>
      <c r="G7" s="14"/>
      <c r="H7" s="14"/>
      <c r="I7" s="14"/>
    </row>
    <row r="8" customFormat="false" ht="30" hidden="false" customHeight="true" outlineLevel="0" collapsed="false">
      <c r="A8" s="11" t="s">
        <v>82</v>
      </c>
      <c r="B8" s="14"/>
      <c r="C8" s="14"/>
      <c r="D8" s="14"/>
      <c r="E8" s="14"/>
      <c r="F8" s="14"/>
      <c r="G8" s="14"/>
      <c r="H8" s="14"/>
      <c r="I8" s="14"/>
    </row>
    <row r="9" customFormat="false" ht="30" hidden="false" customHeight="true" outlineLevel="0" collapsed="false">
      <c r="A9" s="11" t="s">
        <v>83</v>
      </c>
      <c r="B9" s="14"/>
      <c r="C9" s="14"/>
      <c r="D9" s="14"/>
      <c r="E9" s="14"/>
      <c r="F9" s="14"/>
      <c r="G9" s="14"/>
      <c r="H9" s="14"/>
      <c r="I9" s="14"/>
    </row>
    <row r="10" customFormat="false" ht="30" hidden="false" customHeight="true" outlineLevel="0" collapsed="false">
      <c r="A10" s="11" t="s">
        <v>84</v>
      </c>
      <c r="B10" s="14"/>
      <c r="C10" s="14"/>
      <c r="D10" s="14"/>
      <c r="E10" s="14"/>
      <c r="F10" s="14"/>
      <c r="G10" s="14"/>
      <c r="H10" s="14"/>
      <c r="I10" s="14"/>
    </row>
    <row r="11" customFormat="false" ht="30" hidden="false" customHeight="true" outlineLevel="0" collapsed="false">
      <c r="A11" s="11" t="s">
        <v>85</v>
      </c>
      <c r="B11" s="14"/>
      <c r="C11" s="14"/>
      <c r="D11" s="14"/>
      <c r="E11" s="14"/>
      <c r="F11" s="14"/>
      <c r="G11" s="14"/>
      <c r="H11" s="14"/>
      <c r="I11" s="14"/>
    </row>
    <row r="12" customFormat="false" ht="30" hidden="false" customHeight="true" outlineLevel="0" collapsed="false">
      <c r="A12" s="11" t="s">
        <v>86</v>
      </c>
      <c r="B12" s="14"/>
      <c r="C12" s="14"/>
      <c r="D12" s="14"/>
      <c r="E12" s="14"/>
      <c r="F12" s="14"/>
      <c r="G12" s="14"/>
      <c r="H12" s="14"/>
      <c r="I12" s="14"/>
    </row>
    <row r="13" customFormat="false" ht="30" hidden="false" customHeight="true" outlineLevel="0" collapsed="false">
      <c r="A13" s="11" t="s">
        <v>87</v>
      </c>
      <c r="B13" s="14"/>
      <c r="C13" s="14"/>
      <c r="D13" s="14"/>
      <c r="E13" s="14"/>
      <c r="F13" s="14"/>
      <c r="G13" s="14"/>
      <c r="H13" s="14"/>
      <c r="I13" s="14"/>
    </row>
    <row r="14" customFormat="false" ht="30" hidden="false" customHeight="true" outlineLevel="0" collapsed="false">
      <c r="A14" s="11" t="s">
        <v>88</v>
      </c>
      <c r="B14" s="14"/>
      <c r="C14" s="14"/>
      <c r="D14" s="14"/>
      <c r="E14" s="14"/>
      <c r="F14" s="14"/>
      <c r="G14" s="14"/>
      <c r="H14" s="14"/>
      <c r="I14" s="14"/>
    </row>
    <row r="15" customFormat="false" ht="30" hidden="false" customHeight="true" outlineLevel="0" collapsed="false">
      <c r="A15" s="11" t="s">
        <v>89</v>
      </c>
      <c r="B15" s="14"/>
      <c r="C15" s="14"/>
      <c r="D15" s="14"/>
      <c r="E15" s="14"/>
      <c r="F15" s="14"/>
      <c r="G15" s="14"/>
      <c r="H15" s="14"/>
      <c r="I15" s="14"/>
    </row>
    <row r="16" customFormat="false" ht="30" hidden="false" customHeight="true" outlineLevel="0" collapsed="false">
      <c r="A16" s="11" t="s">
        <v>90</v>
      </c>
      <c r="B16" s="14"/>
      <c r="C16" s="14"/>
      <c r="D16" s="14"/>
      <c r="E16" s="14"/>
      <c r="F16" s="14"/>
      <c r="G16" s="14"/>
      <c r="H16" s="14"/>
      <c r="I16" s="14"/>
    </row>
    <row r="17" customFormat="false" ht="30" hidden="false" customHeight="true" outlineLevel="0" collapsed="false">
      <c r="A17" s="11" t="s">
        <v>91</v>
      </c>
      <c r="B17" s="14"/>
      <c r="C17" s="14"/>
      <c r="D17" s="14"/>
      <c r="E17" s="14"/>
      <c r="F17" s="14"/>
      <c r="G17" s="14"/>
      <c r="H17" s="14"/>
      <c r="I17" s="14"/>
    </row>
    <row r="18" customFormat="false" ht="30" hidden="false" customHeight="true" outlineLevel="0" collapsed="false">
      <c r="A18" s="11" t="s">
        <v>92</v>
      </c>
      <c r="B18" s="14"/>
      <c r="C18" s="14"/>
      <c r="D18" s="14"/>
      <c r="E18" s="14"/>
      <c r="F18" s="14"/>
      <c r="G18" s="14"/>
      <c r="H18" s="14"/>
      <c r="I18" s="14"/>
    </row>
    <row r="19" customFormat="false" ht="30" hidden="false" customHeight="true" outlineLevel="0" collapsed="false">
      <c r="A19" s="11" t="s">
        <v>93</v>
      </c>
      <c r="B19" s="14"/>
      <c r="C19" s="14"/>
      <c r="D19" s="14"/>
      <c r="E19" s="14"/>
      <c r="F19" s="14"/>
      <c r="G19" s="14"/>
      <c r="H19" s="14"/>
      <c r="I19" s="14"/>
    </row>
    <row r="20" customFormat="false" ht="30" hidden="false" customHeight="true" outlineLevel="0" collapsed="false">
      <c r="A20" s="11" t="s">
        <v>94</v>
      </c>
      <c r="B20" s="14"/>
      <c r="C20" s="14"/>
      <c r="D20" s="14"/>
      <c r="E20" s="14"/>
      <c r="F20" s="14"/>
      <c r="G20" s="14"/>
      <c r="H20" s="14"/>
      <c r="I20" s="14"/>
    </row>
    <row r="21" customFormat="false" ht="30" hidden="false" customHeight="true" outlineLevel="0" collapsed="false">
      <c r="A21" s="11" t="s">
        <v>95</v>
      </c>
      <c r="B21" s="14"/>
      <c r="C21" s="14"/>
      <c r="D21" s="14"/>
      <c r="E21" s="14"/>
      <c r="F21" s="14"/>
      <c r="G21" s="14"/>
      <c r="H21" s="14"/>
      <c r="I21" s="14"/>
    </row>
    <row r="22" customFormat="false" ht="30" hidden="false" customHeight="true" outlineLevel="0" collapsed="false">
      <c r="A22" s="11" t="s">
        <v>96</v>
      </c>
      <c r="B22" s="14"/>
      <c r="C22" s="14"/>
      <c r="D22" s="14"/>
      <c r="E22" s="14"/>
      <c r="F22" s="14"/>
      <c r="G22" s="14"/>
      <c r="H22" s="14"/>
      <c r="I22" s="14"/>
    </row>
    <row r="23" customFormat="false" ht="30" hidden="false" customHeight="true" outlineLevel="0" collapsed="false">
      <c r="A23" s="11" t="s">
        <v>97</v>
      </c>
      <c r="B23" s="14"/>
      <c r="C23" s="14"/>
      <c r="D23" s="14"/>
      <c r="E23" s="14"/>
      <c r="F23" s="14"/>
      <c r="G23" s="14"/>
      <c r="H23" s="14"/>
      <c r="I23" s="14"/>
    </row>
    <row r="24" customFormat="false" ht="30" hidden="false" customHeight="true" outlineLevel="0" collapsed="false">
      <c r="A24" s="11" t="s">
        <v>98</v>
      </c>
      <c r="B24" s="14"/>
      <c r="C24" s="14"/>
      <c r="D24" s="14"/>
      <c r="E24" s="14"/>
      <c r="F24" s="14"/>
      <c r="G24" s="14"/>
      <c r="H24" s="14"/>
      <c r="I24" s="14"/>
    </row>
    <row r="25" customFormat="false" ht="30" hidden="false" customHeight="true" outlineLevel="0" collapsed="false">
      <c r="A25" s="11" t="s">
        <v>99</v>
      </c>
      <c r="B25" s="14"/>
      <c r="C25" s="14"/>
      <c r="D25" s="14"/>
      <c r="E25" s="14"/>
      <c r="F25" s="14"/>
      <c r="G25" s="14"/>
      <c r="H25" s="14"/>
      <c r="I25" s="14"/>
    </row>
    <row r="26" customFormat="false" ht="30" hidden="false" customHeight="true" outlineLevel="0" collapsed="false">
      <c r="A26" s="11" t="s">
        <v>100</v>
      </c>
      <c r="B26" s="14"/>
      <c r="C26" s="14"/>
      <c r="D26" s="14"/>
      <c r="E26" s="14"/>
      <c r="F26" s="14"/>
      <c r="G26" s="14"/>
      <c r="H26" s="14"/>
      <c r="I26" s="14"/>
    </row>
    <row r="27" customFormat="false" ht="30" hidden="false" customHeight="true" outlineLevel="0" collapsed="false">
      <c r="A27" s="11" t="s">
        <v>101</v>
      </c>
      <c r="B27" s="14"/>
      <c r="C27" s="14"/>
      <c r="D27" s="14"/>
      <c r="E27" s="14"/>
      <c r="F27" s="14"/>
      <c r="G27" s="14"/>
      <c r="H27" s="14"/>
      <c r="I27" s="14"/>
    </row>
    <row r="28" customFormat="false" ht="30" hidden="false" customHeight="true" outlineLevel="0" collapsed="false">
      <c r="A28" s="11" t="s">
        <v>102</v>
      </c>
      <c r="B28" s="14"/>
      <c r="C28" s="14"/>
      <c r="D28" s="14"/>
      <c r="E28" s="14"/>
      <c r="F28" s="14"/>
      <c r="G28" s="14"/>
      <c r="H28" s="14"/>
      <c r="I28" s="14"/>
    </row>
    <row r="29" customFormat="false" ht="30" hidden="false" customHeight="true" outlineLevel="0" collapsed="false">
      <c r="A29" s="11" t="s">
        <v>103</v>
      </c>
      <c r="B29" s="14"/>
      <c r="C29" s="14"/>
      <c r="D29" s="14"/>
      <c r="E29" s="14"/>
      <c r="F29" s="14"/>
      <c r="G29" s="14"/>
      <c r="H29" s="14"/>
      <c r="I29" s="14"/>
    </row>
    <row r="30" customFormat="false" ht="30" hidden="false" customHeight="true" outlineLevel="0" collapsed="false">
      <c r="A30" s="11" t="s">
        <v>104</v>
      </c>
      <c r="B30" s="14"/>
      <c r="C30" s="14"/>
      <c r="D30" s="14"/>
      <c r="E30" s="14"/>
      <c r="F30" s="14"/>
      <c r="G30" s="14"/>
      <c r="H30" s="14"/>
      <c r="I30" s="14"/>
    </row>
    <row r="31" customFormat="false" ht="30" hidden="false" customHeight="true" outlineLevel="0" collapsed="false">
      <c r="A31" s="11" t="s">
        <v>105</v>
      </c>
      <c r="B31" s="14"/>
      <c r="C31" s="14"/>
      <c r="D31" s="14"/>
      <c r="E31" s="14"/>
      <c r="F31" s="14"/>
      <c r="G31" s="14"/>
      <c r="H31" s="14"/>
      <c r="I31" s="14"/>
    </row>
    <row r="32" customFormat="false" ht="30" hidden="false" customHeight="true" outlineLevel="0" collapsed="false">
      <c r="A32" s="11" t="s">
        <v>106</v>
      </c>
      <c r="B32" s="14"/>
      <c r="C32" s="14"/>
      <c r="D32" s="14"/>
      <c r="E32" s="14"/>
      <c r="F32" s="14"/>
      <c r="G32" s="14"/>
      <c r="H32" s="14"/>
      <c r="I32" s="14"/>
    </row>
    <row r="33" customFormat="false" ht="30" hidden="false" customHeight="true" outlineLevel="0" collapsed="false">
      <c r="A33" s="11" t="s">
        <v>107</v>
      </c>
      <c r="B33" s="14"/>
      <c r="C33" s="14"/>
      <c r="D33" s="14"/>
      <c r="E33" s="14"/>
      <c r="F33" s="14"/>
      <c r="G33" s="14"/>
      <c r="H33" s="14"/>
      <c r="I33" s="14"/>
    </row>
    <row r="34" customFormat="false" ht="30" hidden="false" customHeight="true" outlineLevel="0" collapsed="false">
      <c r="A34" s="11" t="s">
        <v>108</v>
      </c>
      <c r="B34" s="14"/>
      <c r="C34" s="14"/>
      <c r="D34" s="14"/>
      <c r="E34" s="14"/>
      <c r="F34" s="14"/>
      <c r="G34" s="14"/>
      <c r="H34" s="14"/>
      <c r="I34" s="14"/>
    </row>
    <row r="35" customFormat="false" ht="30" hidden="false" customHeight="true" outlineLevel="0" collapsed="false">
      <c r="A35" s="11" t="s">
        <v>109</v>
      </c>
      <c r="B35" s="14"/>
      <c r="C35" s="14"/>
      <c r="D35" s="14"/>
      <c r="E35" s="14"/>
      <c r="F35" s="14"/>
      <c r="G35" s="14"/>
      <c r="H35" s="14"/>
      <c r="I35" s="14"/>
    </row>
    <row r="36" customFormat="false" ht="30" hidden="false" customHeight="true" outlineLevel="0" collapsed="false">
      <c r="A36" s="11" t="s">
        <v>110</v>
      </c>
      <c r="B36" s="14"/>
      <c r="C36" s="14"/>
      <c r="D36" s="14"/>
      <c r="E36" s="14"/>
      <c r="F36" s="14"/>
      <c r="G36" s="14"/>
      <c r="H36" s="14"/>
      <c r="I36" s="14"/>
    </row>
    <row r="37" customFormat="false" ht="30" hidden="false" customHeight="true" outlineLevel="0" collapsed="false">
      <c r="A37" s="11" t="s">
        <v>111</v>
      </c>
      <c r="B37" s="14"/>
      <c r="C37" s="14"/>
      <c r="D37" s="14"/>
      <c r="E37" s="14"/>
      <c r="F37" s="14"/>
      <c r="G37" s="14"/>
      <c r="H37" s="14"/>
      <c r="I37" s="14"/>
    </row>
    <row r="38" customFormat="false" ht="30" hidden="false" customHeight="true" outlineLevel="0" collapsed="false">
      <c r="A38" s="11" t="s">
        <v>112</v>
      </c>
      <c r="B38" s="14"/>
      <c r="C38" s="14"/>
      <c r="D38" s="14"/>
      <c r="E38" s="14"/>
      <c r="F38" s="14"/>
      <c r="G38" s="14"/>
      <c r="H38" s="14"/>
      <c r="I38" s="14"/>
    </row>
    <row r="39" customFormat="false" ht="30" hidden="false" customHeight="true" outlineLevel="0" collapsed="false">
      <c r="A39" s="11" t="s">
        <v>113</v>
      </c>
      <c r="B39" s="14"/>
      <c r="C39" s="14"/>
      <c r="D39" s="14"/>
      <c r="E39" s="14"/>
      <c r="F39" s="14"/>
      <c r="G39" s="14"/>
      <c r="H39" s="14"/>
      <c r="I39" s="14"/>
    </row>
    <row r="40" customFormat="false" ht="30" hidden="false" customHeight="true" outlineLevel="0" collapsed="false">
      <c r="A40" s="11" t="s">
        <v>114</v>
      </c>
      <c r="B40" s="14"/>
      <c r="C40" s="14"/>
      <c r="D40" s="14"/>
      <c r="E40" s="14"/>
      <c r="F40" s="14"/>
      <c r="G40" s="14"/>
      <c r="H40" s="14"/>
      <c r="I40" s="14"/>
    </row>
    <row r="41" customFormat="false" ht="30" hidden="false" customHeight="true" outlineLevel="0" collapsed="false">
      <c r="A41" s="11" t="s">
        <v>115</v>
      </c>
      <c r="B41" s="14"/>
      <c r="C41" s="14"/>
      <c r="D41" s="14"/>
      <c r="E41" s="14"/>
      <c r="F41" s="14"/>
      <c r="G41" s="14"/>
      <c r="H41" s="14"/>
      <c r="I41" s="14"/>
    </row>
    <row r="42" customFormat="false" ht="30" hidden="false" customHeight="true" outlineLevel="0" collapsed="false">
      <c r="A42" s="11" t="s">
        <v>116</v>
      </c>
      <c r="B42" s="14"/>
      <c r="C42" s="14"/>
      <c r="D42" s="14"/>
      <c r="E42" s="14"/>
      <c r="F42" s="14"/>
      <c r="G42" s="14"/>
      <c r="H42" s="14"/>
      <c r="I42" s="14"/>
    </row>
    <row r="43" customFormat="false" ht="30" hidden="false" customHeight="true" outlineLevel="0" collapsed="false">
      <c r="A43" s="11" t="s">
        <v>117</v>
      </c>
      <c r="B43" s="14"/>
      <c r="C43" s="14"/>
      <c r="D43" s="14"/>
      <c r="E43" s="14"/>
      <c r="F43" s="14"/>
      <c r="G43" s="14"/>
      <c r="H43" s="14"/>
      <c r="I43" s="14"/>
    </row>
    <row r="44" customFormat="false" ht="30" hidden="false" customHeight="true" outlineLevel="0" collapsed="false">
      <c r="A44" s="11" t="s">
        <v>118</v>
      </c>
      <c r="B44" s="14"/>
      <c r="C44" s="14"/>
      <c r="D44" s="14"/>
      <c r="E44" s="14"/>
      <c r="F44" s="14"/>
      <c r="G44" s="14"/>
      <c r="H44" s="14"/>
      <c r="I44" s="14"/>
    </row>
    <row r="45" customFormat="false" ht="30" hidden="false" customHeight="true" outlineLevel="0" collapsed="false">
      <c r="A45" s="11" t="s">
        <v>119</v>
      </c>
      <c r="B45" s="14"/>
      <c r="C45" s="14"/>
      <c r="D45" s="14"/>
      <c r="E45" s="14"/>
      <c r="F45" s="14"/>
      <c r="G45" s="14"/>
      <c r="H45" s="14"/>
      <c r="I45" s="14"/>
    </row>
    <row r="46" customFormat="false" ht="30" hidden="false" customHeight="true" outlineLevel="0" collapsed="false">
      <c r="A46" s="11" t="s">
        <v>120</v>
      </c>
      <c r="B46" s="14"/>
      <c r="C46" s="14"/>
      <c r="D46" s="14"/>
      <c r="E46" s="14"/>
      <c r="F46" s="14"/>
      <c r="G46" s="14"/>
      <c r="H46" s="14"/>
      <c r="I46" s="14"/>
    </row>
    <row r="47" customFormat="false" ht="30" hidden="false" customHeight="true" outlineLevel="0" collapsed="false">
      <c r="A47" s="11" t="s">
        <v>121</v>
      </c>
      <c r="B47" s="14"/>
      <c r="C47" s="14"/>
      <c r="D47" s="14"/>
      <c r="E47" s="14"/>
      <c r="F47" s="14"/>
      <c r="G47" s="14"/>
      <c r="H47" s="14"/>
      <c r="I47" s="14"/>
    </row>
    <row r="48" customFormat="false" ht="30" hidden="false" customHeight="true" outlineLevel="0" collapsed="false">
      <c r="A48" s="11" t="s">
        <v>122</v>
      </c>
      <c r="B48" s="14"/>
      <c r="C48" s="14"/>
      <c r="D48" s="14"/>
      <c r="E48" s="14"/>
      <c r="F48" s="14"/>
      <c r="G48" s="14"/>
      <c r="H48" s="14"/>
      <c r="I48" s="14"/>
    </row>
    <row r="49" customFormat="false" ht="30" hidden="false" customHeight="true" outlineLevel="0" collapsed="false">
      <c r="A49" s="11" t="s">
        <v>123</v>
      </c>
      <c r="B49" s="14"/>
      <c r="C49" s="14"/>
      <c r="D49" s="14"/>
      <c r="E49" s="14"/>
      <c r="F49" s="14"/>
      <c r="G49" s="14"/>
      <c r="H49" s="14"/>
      <c r="I49" s="14"/>
    </row>
    <row r="50" customFormat="false" ht="30" hidden="false" customHeight="true" outlineLevel="0" collapsed="false">
      <c r="A50" s="11" t="s">
        <v>124</v>
      </c>
      <c r="B50" s="14"/>
      <c r="C50" s="14"/>
      <c r="D50" s="14"/>
      <c r="E50" s="14"/>
      <c r="F50" s="14"/>
      <c r="G50" s="14"/>
      <c r="H50" s="14"/>
      <c r="I50" s="14"/>
    </row>
    <row r="51" customFormat="false" ht="30" hidden="false" customHeight="true" outlineLevel="0" collapsed="false">
      <c r="A51" s="11" t="s">
        <v>125</v>
      </c>
      <c r="B51" s="14"/>
      <c r="C51" s="14"/>
      <c r="D51" s="14"/>
      <c r="E51" s="14"/>
      <c r="F51" s="14"/>
      <c r="G51" s="14"/>
      <c r="H51" s="14"/>
      <c r="I51"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14"/>
    <col collapsed="false" customWidth="true" hidden="false" outlineLevel="0" max="4" min="4" style="0" width="4"/>
    <col collapsed="false" customWidth="true" hidden="false" outlineLevel="0" max="5" min="5" style="0" width="22"/>
    <col collapsed="false" customWidth="true" hidden="false" outlineLevel="0" max="6" min="6" style="0" width="14"/>
  </cols>
  <sheetData>
    <row r="2" customFormat="false" ht="22.05" hidden="false" customHeight="false" outlineLevel="0" collapsed="false">
      <c r="B2" s="15" t="s">
        <v>163</v>
      </c>
    </row>
    <row r="4" customFormat="false" ht="15" hidden="false" customHeight="false" outlineLevel="0" collapsed="false">
      <c r="B4" s="16" t="s">
        <v>164</v>
      </c>
      <c r="E4" s="16" t="s">
        <v>165</v>
      </c>
    </row>
    <row r="5" customFormat="false" ht="15" hidden="false" customHeight="false" outlineLevel="0" collapsed="false">
      <c r="B5" s="17" t="s">
        <v>53</v>
      </c>
      <c r="C5" s="18" t="n">
        <f aca="false">COUNTIF('RFI Register'!D2:D54,"CRITICAL")</f>
        <v>3</v>
      </c>
      <c r="E5" s="19" t="s">
        <v>61</v>
      </c>
      <c r="F5" s="18" t="n">
        <f aca="false">COUNTIF('RFI Register'!L2:L54,"DRAFT")</f>
        <v>3</v>
      </c>
    </row>
    <row r="6" customFormat="false" ht="15" hidden="false" customHeight="false" outlineLevel="0" collapsed="false">
      <c r="B6" s="20" t="s">
        <v>133</v>
      </c>
      <c r="C6" s="18" t="n">
        <f aca="false">COUNTIF('RFI Register'!D2:D54,"HIGH")</f>
        <v>0</v>
      </c>
      <c r="E6" s="19" t="s">
        <v>134</v>
      </c>
      <c r="F6" s="18" t="n">
        <f aca="false">COUNTIF('RFI Register'!L2:L54,"READY_TO_SUBMIT")</f>
        <v>0</v>
      </c>
    </row>
    <row r="7" customFormat="false" ht="15" hidden="false" customHeight="false" outlineLevel="0" collapsed="false">
      <c r="B7" s="21" t="s">
        <v>138</v>
      </c>
      <c r="C7" s="18" t="n">
        <f aca="false">COUNTIF('RFI Register'!D2:D54,"MEDIUM")</f>
        <v>0</v>
      </c>
      <c r="E7" s="19" t="s">
        <v>139</v>
      </c>
      <c r="F7" s="18" t="n">
        <f aca="false">COUNTIF('RFI Register'!L2:L54,"SUBMITTED")</f>
        <v>0</v>
      </c>
    </row>
    <row r="8" customFormat="false" ht="15" hidden="false" customHeight="false" outlineLevel="0" collapsed="false">
      <c r="B8" s="22" t="s">
        <v>142</v>
      </c>
      <c r="C8" s="18" t="n">
        <f aca="false">COUNTIF('RFI Register'!D2:D54,"LOW")</f>
        <v>0</v>
      </c>
      <c r="E8" s="19" t="s">
        <v>143</v>
      </c>
      <c r="F8" s="18" t="n">
        <f aca="false">COUNTIF('RFI Register'!L2:L54,"RESPONDED")</f>
        <v>0</v>
      </c>
    </row>
    <row r="9" customFormat="false" ht="15" hidden="false" customHeight="false" outlineLevel="0" collapsed="false">
      <c r="B9" s="23" t="s">
        <v>166</v>
      </c>
      <c r="C9" s="19" t="n">
        <f aca="false">SUM(C5:C8)</f>
        <v>3</v>
      </c>
      <c r="E9" s="19" t="s">
        <v>146</v>
      </c>
      <c r="F9" s="18" t="n">
        <f aca="false">COUNTIF('RFI Register'!L2:L54,"CLOSED")</f>
        <v>0</v>
      </c>
    </row>
    <row r="10" customFormat="false" ht="15" hidden="false" customHeight="false" outlineLevel="0" collapsed="false">
      <c r="E10" s="19" t="s">
        <v>148</v>
      </c>
      <c r="F10" s="18" t="n">
        <f aca="false">COUNTIF('RFI Register'!L2:L54,"WITHDRAWN")</f>
        <v>0</v>
      </c>
    </row>
    <row r="12" customFormat="false" ht="15" hidden="false" customHeight="false" outlineLevel="0" collapsed="false">
      <c r="B12" s="16" t="s">
        <v>167</v>
      </c>
    </row>
    <row r="13" customFormat="false" ht="15" hidden="false" customHeight="false" outlineLevel="0" collapsed="false">
      <c r="B13" s="24" t="s">
        <v>168</v>
      </c>
      <c r="C13" s="19" t="n">
        <f aca="false">C9</f>
        <v>3</v>
      </c>
    </row>
    <row r="14" customFormat="false" ht="15" hidden="false" customHeight="false" outlineLevel="0" collapsed="false">
      <c r="B14" s="24" t="s">
        <v>169</v>
      </c>
      <c r="C14" s="19" t="n">
        <f aca="false">COUNTIF('RFI Register'!L2:L54,"SUBMITTED")+COUNTIF('RFI Register'!L2:L54,"RESPONDED")+COUNTIF('RFI Register'!L2:L54,"CLOSED")</f>
        <v>0</v>
      </c>
    </row>
    <row r="15" customFormat="false" ht="15" hidden="false" customHeight="false" outlineLevel="0" collapsed="false">
      <c r="B15" s="24" t="s">
        <v>170</v>
      </c>
      <c r="C15" s="19" t="n">
        <f aca="false">COUNTIF('RFI Register'!L2:L54,"DRAFT")+COUNTIF('RFI Register'!L2:L54,"READY_TO_SUBMIT")</f>
        <v>3</v>
      </c>
    </row>
    <row r="16" customFormat="false" ht="15" hidden="false" customHeight="false" outlineLevel="0" collapsed="false">
      <c r="B16" s="24" t="s">
        <v>171</v>
      </c>
      <c r="C16" s="25" t="n">
        <f aca="false">IFERROR((COUNTIF('RFI Register'!L2:L54,"CLOSED"))/C13,0)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2026-05-27T13:02:39Z</dcterms:created>
  <dc:creator>openpyxl</dc:creator>
  <dc:description/>
  <dc:language>en-US</dc:language>
  <cp:lastModifiedBy/>
  <dcterms:modified xsi:type="dcterms:W3CDTF">2026-05-27T13:02:39Z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