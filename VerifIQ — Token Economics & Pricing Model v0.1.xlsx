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Pricing" sheetId="3" state="visible" r:id="rId5"/>
    <sheet name="Revenue" sheetId="4" state="visible" r:id="rId6"/>
    <sheet name="Sensitivity" sheetId="5" state="visible" r:id="rId7"/>
    <sheet name="Tier Volum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<sst xmlns="http://schemas.openxmlformats.org/spreadsheetml/2006/main" count="154" uniqueCount="147">
  <si>
    <t xml:space="preserve">VerifIQ</t>
  </si>
  <si>
    <t xml:space="preserve">Token Economics &amp; Pricing Model — Live Working Model</t>
  </si>
  <si>
    <t xml:space="preserve">v0.1 — 27-May-2026 — Adjust the YELLOW cells. Everything else recalculates.</t>
  </si>
  <si>
    <t xml:space="preserve">Key headline outputs</t>
  </si>
  <si>
    <t xml:space="preserve">Sheets in this workbook</t>
  </si>
  <si>
    <t xml:space="preserve">Tier 2 (Mid pack) cost per check €</t>
  </si>
  <si>
    <t xml:space="preserve">1. Dashboard — this sheet, headline KPIs</t>
  </si>
  <si>
    <t xml:space="preserve">Tier 2 list price €</t>
  </si>
  <si>
    <t xml:space="preserve">2. Inputs — token rates, model prices, market assumptions</t>
  </si>
  <si>
    <t xml:space="preserve">Tier 2 gross margin %</t>
  </si>
  <si>
    <t xml:space="preserve">3. Pricing — per-check tier cost, list price, gross margin</t>
  </si>
  <si>
    <t xml:space="preserve">Weighted avg gross margin %</t>
  </si>
  <si>
    <t xml:space="preserve">4. Revenue — Year 1-3 build-up across customer segments</t>
  </si>
  <si>
    <t xml:space="preserve">Year-1 revenue at base case €</t>
  </si>
  <si>
    <t xml:space="preserve">5. Sensitivity — model price flex, customer count flex, margin envelope</t>
  </si>
  <si>
    <t xml:space="preserve">Year-1 gross profit €</t>
  </si>
  <si>
    <t xml:space="preserve">6. Tier Volumes — illustrative pack profiles (drawings, pages, schedules)</t>
  </si>
  <si>
    <t xml:space="preserve">Year-3 revenue at base case €</t>
  </si>
  <si>
    <t xml:space="preserve">Year-3 gross profit €</t>
  </si>
  <si>
    <t xml:space="preserve">Legend</t>
  </si>
  <si>
    <t xml:space="preserve">Editable input</t>
  </si>
  <si>
    <t xml:space="preserve">Formula / calculated</t>
  </si>
  <si>
    <t xml:space="preserve">Key output / KPI</t>
  </si>
  <si>
    <t xml:space="preserve">Inputs</t>
  </si>
  <si>
    <t xml:space="preserve">Adjust YELLOW cells. All downstream sheets recalculate.</t>
  </si>
  <si>
    <t xml:space="preserve">1. LLM inference rates (€ per 1m tokens)</t>
  </si>
  <si>
    <t xml:space="preserve">Frontier model — input tokens</t>
  </si>
  <si>
    <t xml:space="preserve">€/1m tokens. Reference: Claude Sonnet-class input pricing May 2026</t>
  </si>
  <si>
    <t xml:space="preserve">Frontier model — output tokens</t>
  </si>
  <si>
    <t xml:space="preserve">€/1m tokens. Reasoning + generation cost</t>
  </si>
  <si>
    <t xml:space="preserve">Cheap model — input tokens</t>
  </si>
  <si>
    <t xml:space="preserve">€/1m tokens. Used for hygiene / metadata checks</t>
  </si>
  <si>
    <t xml:space="preserve">Cheap model — output tokens</t>
  </si>
  <si>
    <t xml:space="preserve">€/1m tokens</t>
  </si>
  <si>
    <t xml:space="preserve">% checks using cheap model (smart routing)</t>
  </si>
  <si>
    <t xml:space="preserve">Fraction of token volume routed to cheap model</t>
  </si>
  <si>
    <t xml:space="preserve">Reasoning multiplier on input tokens</t>
  </si>
  <si>
    <t xml:space="preserve">Output tokens as fraction of input (orchestration + findings)</t>
  </si>
  <si>
    <t xml:space="preserve">2. Tier pack profiles (token consumption)</t>
  </si>
  <si>
    <t xml:space="preserve">Tier</t>
  </si>
  <si>
    <t xml:space="preserve">Description</t>
  </si>
  <si>
    <t xml:space="preserve">Input tokens (est.)</t>
  </si>
  <si>
    <t xml:space="preserve">List price €</t>
  </si>
  <si>
    <t xml:space="preserve">Tier 1 — Small</t>
  </si>
  <si>
    <t xml:space="preserve">&lt;50MB / &lt;200 pages</t>
  </si>
  <si>
    <t xml:space="preserve">Tier 2 — Mid</t>
  </si>
  <si>
    <t xml:space="preserve">50-200MB / 200-600 pages</t>
  </si>
  <si>
    <t xml:space="preserve">Tier 3 — Large</t>
  </si>
  <si>
    <t xml:space="preserve">200-500MB / 600-1500 pages</t>
  </si>
  <si>
    <t xml:space="preserve">Tier 4 — Programme</t>
  </si>
  <si>
    <t xml:space="preserve">Multiple packs / month, custom</t>
  </si>
  <si>
    <t xml:space="preserve">3. Customer segment build (base case, end of Year 1)</t>
  </si>
  <si>
    <t xml:space="preserve">Segment</t>
  </si>
  <si>
    <t xml:space="preserve">Customers</t>
  </si>
  <si>
    <t xml:space="preserve">Avg checks/mo per customer</t>
  </si>
  <si>
    <t xml:space="preserve">Avg tier (1/2/3)</t>
  </si>
  <si>
    <t xml:space="preserve">Design teams — per-check (Tier 1)</t>
  </si>
  <si>
    <t xml:space="preserve">Design teams — Practice subscription (Tier 2)</t>
  </si>
  <si>
    <t xml:space="preserve">Design teams — Enterprise subscription (Tier 2-3)</t>
  </si>
  <si>
    <t xml:space="preserve">Contractors — per-bid (Tier 1-2)</t>
  </si>
  <si>
    <t xml:space="preserve">Employer-side — Programme (Tier 3-4)</t>
  </si>
  <si>
    <t xml:space="preserve">4. Year-on-year growth assumptions</t>
  </si>
  <si>
    <t xml:space="preserve">Year-2 customer count growth</t>
  </si>
  <si>
    <t xml:space="preserve">Multiplier on Year-1 count</t>
  </si>
  <si>
    <t xml:space="preserve">Year-3 customer count growth</t>
  </si>
  <si>
    <t xml:space="preserve">Multiplier on Year-2 count</t>
  </si>
  <si>
    <t xml:space="preserve">Year-2 average usage growth per customer</t>
  </si>
  <si>
    <t xml:space="preserve">More checks per customer as they mature</t>
  </si>
  <si>
    <t xml:space="preserve">Year-3 average usage growth per customer</t>
  </si>
  <si>
    <t xml:space="preserve">Year-2 LLM cost reduction</t>
  </si>
  <si>
    <t xml:space="preserve">Inference price expected to fall 25%</t>
  </si>
  <si>
    <t xml:space="preserve">Year-3 LLM cost reduction</t>
  </si>
  <si>
    <t xml:space="preserve">Inference price expected to fall 35% from Year 1</t>
  </si>
  <si>
    <t xml:space="preserve">Per-Check Pricing Math</t>
  </si>
  <si>
    <t xml:space="preserve">Derived from Inputs sheet. Adjust Inputs to flex these numbers.</t>
  </si>
  <si>
    <t xml:space="preserve">Cost per check €</t>
  </si>
  <si>
    <t xml:space="preserve">Gross profit €</t>
  </si>
  <si>
    <t xml:space="preserve">Gross margin %</t>
  </si>
  <si>
    <t xml:space="preserve">Weighted avg (assumes equal mix)</t>
  </si>
  <si>
    <t xml:space="preserve">Margin alert thresholds</t>
  </si>
  <si>
    <t xml:space="preserve">Target gross margin floor</t>
  </si>
  <si>
    <t xml:space="preserve">All tiers above target?</t>
  </si>
  <si>
    <t xml:space="preserve">Three-Year Revenue &amp; Margin Build-Up</t>
  </si>
  <si>
    <t xml:space="preserve">Built from Inputs sheet — segment customer counts × checks × tier price.</t>
  </si>
  <si>
    <t xml:space="preserve">Line item</t>
  </si>
  <si>
    <t xml:space="preserve">Driver</t>
  </si>
  <si>
    <t xml:space="preserve">Year 1</t>
  </si>
  <si>
    <t xml:space="preserve">Year 2</t>
  </si>
  <si>
    <t xml:space="preserve">Year 3</t>
  </si>
  <si>
    <t xml:space="preserve">Total customers (end of year)</t>
  </si>
  <si>
    <t xml:space="preserve">Sum of segments</t>
  </si>
  <si>
    <t xml:space="preserve">Avg checks per customer per year</t>
  </si>
  <si>
    <t xml:space="preserve">Weighted by segment</t>
  </si>
  <si>
    <t xml:space="preserve">Total checks per year</t>
  </si>
  <si>
    <t xml:space="preserve">Customers × checks</t>
  </si>
  <si>
    <t xml:space="preserve">Weighted avg list price €</t>
  </si>
  <si>
    <t xml:space="preserve">Segment tier mix</t>
  </si>
  <si>
    <t xml:space="preserve">TOTAL REVENUE</t>
  </si>
  <si>
    <t xml:space="preserve">Checks × avg price</t>
  </si>
  <si>
    <t xml:space="preserve">Avg cost per check €</t>
  </si>
  <si>
    <t xml:space="preserve">Weighted from Pricing sheet</t>
  </si>
  <si>
    <t xml:space="preserve">Total inference cost</t>
  </si>
  <si>
    <t xml:space="preserve">Checks × cost</t>
  </si>
  <si>
    <t xml:space="preserve">Cloud infra (Convex, hosting, storage)</t>
  </si>
  <si>
    <t xml:space="preserve">Fixed + variable</t>
  </si>
  <si>
    <t xml:space="preserve">Stripe + payment processing</t>
  </si>
  <si>
    <t xml:space="preserve">~2.5% of revenue</t>
  </si>
  <si>
    <t xml:space="preserve">TOTAL COGS</t>
  </si>
  <si>
    <t xml:space="preserve">Sum of variable</t>
  </si>
  <si>
    <t xml:space="preserve">GROSS PROFIT</t>
  </si>
  <si>
    <t xml:space="preserve">Revenue - COGS</t>
  </si>
  <si>
    <t xml:space="preserve">GP / Revenue</t>
  </si>
  <si>
    <t xml:space="preserve">Sensitivity Analysis</t>
  </si>
  <si>
    <t xml:space="preserve">How key outputs flex with input variation.</t>
  </si>
  <si>
    <t xml:space="preserve">Tier 2 gross margin at varying frontier model input cost</t>
  </si>
  <si>
    <t xml:space="preserve">Frontier input €/1m tokens</t>
  </si>
  <si>
    <t xml:space="preserve">Tier 2 cost €</t>
  </si>
  <si>
    <t xml:space="preserve">Tier 2 margin %</t>
  </si>
  <si>
    <t xml:space="preserve">Year 1 revenue at varying customer counts</t>
  </si>
  <si>
    <t xml:space="preserve">Total customers Y1</t>
  </si>
  <si>
    <t xml:space="preserve">Y1 revenue €</t>
  </si>
  <si>
    <t xml:space="preserve">Y1 gross profit €</t>
  </si>
  <si>
    <t xml:space="preserve">Pessimistic (25)</t>
  </si>
  <si>
    <t xml:space="preserve">Below plan (35)</t>
  </si>
  <si>
    <t xml:space="preserve">Base case (45)</t>
  </si>
  <si>
    <t xml:space="preserve">Above plan (60)</t>
  </si>
  <si>
    <t xml:space="preserve">Optimistic (85)</t>
  </si>
  <si>
    <t xml:space="preserve">Pack Profile Examples</t>
  </si>
  <si>
    <t xml:space="preserve">Token consumption math for the tier definitions. Calibrated against 27 May validation engagement.</t>
  </si>
  <si>
    <t xml:space="preserve">Document type</t>
  </si>
  <si>
    <t xml:space="preserve">Tokens/page</t>
  </si>
  <si>
    <t xml:space="preserve">Tier 1 pages</t>
  </si>
  <si>
    <t xml:space="preserve">Tier 1 tokens</t>
  </si>
  <si>
    <t xml:space="preserve">Tier 2 pages</t>
  </si>
  <si>
    <t xml:space="preserve">Tier 2 tokens</t>
  </si>
  <si>
    <t xml:space="preserve">Tier 3 pages</t>
  </si>
  <si>
    <t xml:space="preserve">Tier 3 tokens</t>
  </si>
  <si>
    <t xml:space="preserve">Drawing register / issue sheet</t>
  </si>
  <si>
    <t xml:space="preserve">Specification body (NBS clause)</t>
  </si>
  <si>
    <t xml:space="preserve">GA drawing (vision)</t>
  </si>
  <si>
    <t xml:space="preserve">Detail drawing (vision)</t>
  </si>
  <si>
    <t xml:space="preserve">Schedule sheet (data table)</t>
  </si>
  <si>
    <t xml:space="preserve">Report (Fire B, structural)</t>
  </si>
  <si>
    <t xml:space="preserve">TOTAL</t>
  </si>
  <si>
    <t xml:space="preserve">Calibration vs 27-May-2026 validation engagement</t>
  </si>
  <si>
    <t xml:space="preserve">Real pack: 161 PDFs, ~560 pages of spec content, drawings + reports. Token consumption observed: ~1.4m input + ~600k reasoning/output = ~2m total.</t>
  </si>
  <si>
    <t xml:space="preserve">Aligned with Tier 2 range (600k-2.2m total) — the May validation engagement was at the upper end of Tier 2.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</si>
</sst>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€#,##0"/>
    <numFmt numFmtId="166" formatCode="0.0%"/>
    <numFmt numFmtId="167" formatCode="#,##0"/>
    <numFmt numFmtId="168" formatCode="0.00\x"/>
    <numFmt numFmtId="169" formatCode="\€#,##0.00"/>
    <numFmt numFmtId="170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5A5A5A"/>
      <name val="Calibri"/>
      <family val="0"/>
      <charset val="1"/>
    </font>
    <font>
      <b val="true"/>
      <sz val="22"/>
      <color rgb="FF0E3A6E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4"/>
      <color rgb="FF0E3A6E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0E3A6E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0E3A6E"/>
      <name val="Calibri"/>
      <family val="0"/>
      <charset val="1"/>
    </font>
    <font>
      <b val="true"/>
      <sz val="18"/>
      <color rgb="FF0E3A6E"/>
      <name val="Calibri"/>
      <family val="0"/>
      <charset val="1"/>
    </font>
    <font>
      <b val="true"/>
      <sz val="13"/>
      <color rgb="FF0E3A6E"/>
      <name val="Calibri"/>
      <family val="0"/>
      <charset val="1"/>
    </font>
    <font>
      <i val="true"/>
      <sz val="9"/>
      <color rgb="FF5A5A5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6B3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6B3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8"/>
        <bgColor rgb="FFEEF3F9"/>
      </patternFill>
    </fill>
    <fill>
      <patternFill patternType="solid">
        <fgColor rgb="FFEEF3F9"/>
        <bgColor rgb="FFF4F6F8"/>
      </patternFill>
    </fill>
    <fill>
      <patternFill patternType="solid">
        <fgColor rgb="FFFFF4D6"/>
        <bgColor rgb="FFF4F6F8"/>
      </patternFill>
    </fill>
    <fill>
      <patternFill patternType="solid">
        <fgColor rgb="FF0E3A6E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 style="thin">
        <color rgb="FFB4B4B4"/>
      </right>
      <top style="medium">
        <color rgb="FF0E3A6E"/>
      </top>
      <bottom style="medium">
        <color rgb="FF0E3A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1F6B3A"/>
      </font>
      <fill>
        <patternFill>
          <bgColor rgb="FFE2F0D9"/>
        </patternFill>
      </fill>
    </dxf>
    <dxf>
      <font>
        <b val="1"/>
        <color rgb="FFB00020"/>
      </font>
      <fill>
        <patternFill>
          <bgColor rgb="FFF8D7DA"/>
        </patternFill>
      </fill>
    </dxf>
    <dxf>
      <fill>
        <patternFill>
          <bgColor rgb="FFE2F0D9"/>
        </patternFill>
      </fill>
    </dxf>
    <dxf>
      <fill>
        <patternFill>
          <bgColor rgb="FFFFF4D6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F6B3A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4D6"/>
      <rgbColor rgb="FFEEF3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E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50"/>
    <col collapsed="false" customWidth="true" hidden="false" outlineLevel="0" max="10" min="6" style="0" width="10"/>
  </cols>
  <sheetData>
    <row r="2" customFormat="false" ht="15" hidden="false" customHeight="false" outlineLevel="0" collapsed="false">
      <c r="B2" s="1" t="s">
        <v>0</v>
      </c>
    </row>
    <row r="3" customFormat="false" ht="26.8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7" customFormat="false" ht="17.35" hidden="false" customHeight="false" outlineLevel="0" collapsed="false">
      <c r="B7" s="4" t="s">
        <v>3</v>
      </c>
      <c r="E7" s="4" t="s">
        <v>4</v>
      </c>
    </row>
    <row r="9" customFormat="false" ht="15" hidden="false" customHeight="true" outlineLevel="0" collapsed="false">
      <c r="B9" s="5" t="s">
        <v>5</v>
      </c>
      <c r="C9" s="6" t="n">
        <f aca="false">Pricing!C12</f>
        <v>19</v>
      </c>
      <c r="E9" s="7" t="s">
        <v>6</v>
      </c>
      <c r="F9" s="7"/>
      <c r="G9" s="7"/>
      <c r="H9" s="7"/>
      <c r="I9" s="7"/>
      <c r="J9" s="7"/>
    </row>
    <row r="10" customFormat="false" ht="15" hidden="false" customHeight="true" outlineLevel="0" collapsed="false">
      <c r="B10" s="5" t="s">
        <v>7</v>
      </c>
      <c r="C10" s="6" t="n">
        <f aca="false">Pricing!B12</f>
        <v>400</v>
      </c>
      <c r="E10" s="7" t="s">
        <v>8</v>
      </c>
      <c r="F10" s="7"/>
      <c r="G10" s="7"/>
      <c r="H10" s="7"/>
      <c r="I10" s="7"/>
      <c r="J10" s="7"/>
    </row>
    <row r="11" customFormat="false" ht="15" hidden="false" customHeight="true" outlineLevel="0" collapsed="false">
      <c r="B11" s="5" t="s">
        <v>9</v>
      </c>
      <c r="C11" s="8" t="n">
        <f aca="false">Pricing!E12</f>
        <v>0.9525</v>
      </c>
      <c r="E11" s="7" t="s">
        <v>10</v>
      </c>
      <c r="F11" s="7"/>
      <c r="G11" s="7"/>
      <c r="H11" s="7"/>
      <c r="I11" s="7"/>
      <c r="J11" s="7"/>
    </row>
    <row r="12" customFormat="false" ht="15" hidden="false" customHeight="true" outlineLevel="0" collapsed="false">
      <c r="B12" s="5" t="s">
        <v>11</v>
      </c>
      <c r="C12" s="8" t="n">
        <f aca="false">Pricing!E16</f>
        <v>0.944270833333333</v>
      </c>
      <c r="E12" s="7" t="s">
        <v>12</v>
      </c>
      <c r="F12" s="7"/>
      <c r="G12" s="7"/>
      <c r="H12" s="7"/>
      <c r="I12" s="7"/>
      <c r="J12" s="7"/>
    </row>
    <row r="13" customFormat="false" ht="15" hidden="false" customHeight="true" outlineLevel="0" collapsed="false">
      <c r="B13" s="5" t="s">
        <v>13</v>
      </c>
      <c r="C13" s="6" t="n">
        <f aca="false">Revenue!C12</f>
        <v>266400</v>
      </c>
      <c r="E13" s="7" t="s">
        <v>14</v>
      </c>
      <c r="F13" s="7"/>
      <c r="G13" s="7"/>
      <c r="H13" s="7"/>
      <c r="I13" s="7"/>
      <c r="J13" s="7"/>
    </row>
    <row r="14" customFormat="false" ht="15" hidden="false" customHeight="true" outlineLevel="0" collapsed="false">
      <c r="B14" s="5" t="s">
        <v>15</v>
      </c>
      <c r="C14" s="6" t="n">
        <f aca="false">Revenue!C20</f>
        <v>215470</v>
      </c>
      <c r="E14" s="7" t="s">
        <v>16</v>
      </c>
      <c r="F14" s="7"/>
      <c r="G14" s="7"/>
      <c r="H14" s="7"/>
      <c r="I14" s="7"/>
      <c r="J14" s="7"/>
    </row>
    <row r="15" customFormat="false" ht="15" hidden="false" customHeight="false" outlineLevel="0" collapsed="false">
      <c r="B15" s="5" t="s">
        <v>17</v>
      </c>
      <c r="C15" s="6" t="n">
        <f aca="false">Revenue!E12</f>
        <v>3563632.8</v>
      </c>
    </row>
    <row r="16" customFormat="false" ht="15" hidden="false" customHeight="false" outlineLevel="0" collapsed="false">
      <c r="B16" s="5" t="s">
        <v>18</v>
      </c>
      <c r="C16" s="6" t="n">
        <f aca="false">Revenue!E20</f>
        <v>3134213.866</v>
      </c>
    </row>
    <row r="19" customFormat="false" ht="15" hidden="false" customHeight="false" outlineLevel="0" collapsed="false">
      <c r="B19" s="9" t="s">
        <v>19</v>
      </c>
    </row>
    <row r="20" customFormat="false" ht="15" hidden="false" customHeight="false" outlineLevel="0" collapsed="false">
      <c r="B20" s="10" t="s">
        <v>20</v>
      </c>
    </row>
    <row r="21" customFormat="false" ht="15" hidden="false" customHeight="false" outlineLevel="0" collapsed="false">
      <c r="B21" s="11" t="s">
        <v>21</v>
      </c>
    </row>
    <row r="22" customFormat="false" ht="15" hidden="false" customHeight="false" outlineLevel="0" collapsed="false">
      <c r="B22" s="12" t="s">
        <v>22</v>
      </c>
    </row>
  </sheetData>
  <mergeCells count="6">
    <mergeCell ref="E9:J9"/>
    <mergeCell ref="E10:J10"/>
    <mergeCell ref="E11:J11"/>
    <mergeCell ref="E12:J12"/>
    <mergeCell ref="E13:J13"/>
    <mergeCell ref="E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10" min="6" style="0" width="10"/>
  </cols>
  <sheetData>
    <row r="2" customFormat="false" ht="22.05" hidden="false" customHeight="false" outlineLevel="0" collapsed="false">
      <c r="B2" s="13" t="s">
        <v>23</v>
      </c>
    </row>
    <row r="3" customFormat="false" ht="15" hidden="false" customHeight="false" outlineLevel="0" collapsed="false">
      <c r="B3" s="3" t="s">
        <v>24</v>
      </c>
    </row>
    <row r="5" customFormat="false" ht="16.15" hidden="false" customHeight="false" outlineLevel="0" collapsed="false">
      <c r="B5" s="14" t="s">
        <v>25</v>
      </c>
    </row>
    <row r="7" customFormat="false" ht="15" hidden="false" customHeight="true" outlineLevel="0" collapsed="false">
      <c r="B7" s="15" t="s">
        <v>26</v>
      </c>
      <c r="C7" s="16" t="n">
        <v>12</v>
      </c>
      <c r="E7" s="17" t="s">
        <v>27</v>
      </c>
      <c r="F7" s="17"/>
      <c r="G7" s="17"/>
      <c r="H7" s="17"/>
      <c r="I7" s="17"/>
      <c r="J7" s="17"/>
    </row>
    <row r="8" customFormat="false" ht="15" hidden="false" customHeight="true" outlineLevel="0" collapsed="false">
      <c r="B8" s="15" t="s">
        <v>28</v>
      </c>
      <c r="C8" s="16" t="n">
        <v>50</v>
      </c>
      <c r="E8" s="17" t="s">
        <v>29</v>
      </c>
      <c r="F8" s="17"/>
      <c r="G8" s="17"/>
      <c r="H8" s="17"/>
      <c r="I8" s="17"/>
      <c r="J8" s="17"/>
    </row>
    <row r="9" customFormat="false" ht="15" hidden="false" customHeight="true" outlineLevel="0" collapsed="false">
      <c r="B9" s="15" t="s">
        <v>30</v>
      </c>
      <c r="C9" s="16" t="n">
        <v>0.8</v>
      </c>
      <c r="E9" s="17" t="s">
        <v>31</v>
      </c>
      <c r="F9" s="17"/>
      <c r="G9" s="17"/>
      <c r="H9" s="17"/>
      <c r="I9" s="17"/>
      <c r="J9" s="17"/>
    </row>
    <row r="10" customFormat="false" ht="15" hidden="false" customHeight="true" outlineLevel="0" collapsed="false">
      <c r="B10" s="15" t="s">
        <v>32</v>
      </c>
      <c r="C10" s="16" t="n">
        <v>3</v>
      </c>
      <c r="E10" s="17" t="s">
        <v>33</v>
      </c>
      <c r="F10" s="17"/>
      <c r="G10" s="17"/>
      <c r="H10" s="17"/>
      <c r="I10" s="17"/>
      <c r="J10" s="17"/>
    </row>
    <row r="11" customFormat="false" ht="15" hidden="false" customHeight="true" outlineLevel="0" collapsed="false">
      <c r="B11" s="15" t="s">
        <v>34</v>
      </c>
      <c r="C11" s="18" t="n">
        <v>0.4</v>
      </c>
      <c r="E11" s="17" t="s">
        <v>35</v>
      </c>
      <c r="F11" s="17"/>
      <c r="G11" s="17"/>
      <c r="H11" s="17"/>
      <c r="I11" s="17"/>
      <c r="J11" s="17"/>
    </row>
    <row r="12" customFormat="false" ht="15" hidden="false" customHeight="true" outlineLevel="0" collapsed="false">
      <c r="B12" s="15" t="s">
        <v>36</v>
      </c>
      <c r="C12" s="18" t="n">
        <v>0.4</v>
      </c>
      <c r="E12" s="17" t="s">
        <v>37</v>
      </c>
      <c r="F12" s="17"/>
      <c r="G12" s="17"/>
      <c r="H12" s="17"/>
      <c r="I12" s="17"/>
      <c r="J12" s="17"/>
    </row>
    <row r="15" customFormat="false" ht="16.15" hidden="false" customHeight="false" outlineLevel="0" collapsed="false">
      <c r="B15" s="14" t="s">
        <v>38</v>
      </c>
    </row>
    <row r="17" customFormat="false" ht="15" hidden="false" customHeight="false" outlineLevel="0" collapsed="false">
      <c r="B17" s="19" t="s">
        <v>39</v>
      </c>
      <c r="C17" s="19" t="s">
        <v>40</v>
      </c>
      <c r="D17" s="19" t="s">
        <v>41</v>
      </c>
      <c r="E17" s="19" t="s">
        <v>42</v>
      </c>
    </row>
    <row r="18" customFormat="false" ht="15" hidden="false" customHeight="false" outlineLevel="0" collapsed="false">
      <c r="B18" s="20" t="s">
        <v>43</v>
      </c>
      <c r="C18" s="11" t="s">
        <v>44</v>
      </c>
      <c r="D18" s="21" t="n">
        <v>250000</v>
      </c>
      <c r="E18" s="22" t="n">
        <v>150</v>
      </c>
    </row>
    <row r="19" customFormat="false" ht="15" hidden="false" customHeight="false" outlineLevel="0" collapsed="false">
      <c r="B19" s="20" t="s">
        <v>45</v>
      </c>
      <c r="C19" s="11" t="s">
        <v>46</v>
      </c>
      <c r="D19" s="21" t="n">
        <v>950000</v>
      </c>
      <c r="E19" s="22" t="n">
        <v>400</v>
      </c>
    </row>
    <row r="20" customFormat="false" ht="15" hidden="false" customHeight="false" outlineLevel="0" collapsed="false">
      <c r="B20" s="20" t="s">
        <v>47</v>
      </c>
      <c r="C20" s="11" t="s">
        <v>48</v>
      </c>
      <c r="D20" s="21" t="n">
        <v>2750000</v>
      </c>
      <c r="E20" s="22" t="n">
        <v>800</v>
      </c>
    </row>
    <row r="21" customFormat="false" ht="15" hidden="false" customHeight="false" outlineLevel="0" collapsed="false">
      <c r="B21" s="20" t="s">
        <v>49</v>
      </c>
      <c r="C21" s="11" t="s">
        <v>50</v>
      </c>
      <c r="D21" s="21" t="n">
        <v>5500000</v>
      </c>
      <c r="E21" s="22" t="n">
        <v>1500</v>
      </c>
    </row>
    <row r="25" customFormat="false" ht="16.15" hidden="false" customHeight="false" outlineLevel="0" collapsed="false">
      <c r="B25" s="14" t="s">
        <v>51</v>
      </c>
    </row>
    <row r="27" customFormat="false" ht="15" hidden="false" customHeight="false" outlineLevel="0" collapsed="false">
      <c r="B27" s="19" t="s">
        <v>52</v>
      </c>
      <c r="C27" s="19" t="s">
        <v>53</v>
      </c>
      <c r="D27" s="19" t="s">
        <v>54</v>
      </c>
      <c r="E27" s="19" t="s">
        <v>55</v>
      </c>
    </row>
    <row r="28" customFormat="false" ht="15" hidden="false" customHeight="false" outlineLevel="0" collapsed="false">
      <c r="B28" s="11" t="s">
        <v>56</v>
      </c>
      <c r="C28" s="16" t="n">
        <v>20</v>
      </c>
      <c r="D28" s="16" t="n">
        <v>1</v>
      </c>
      <c r="E28" s="16" t="n">
        <v>1</v>
      </c>
    </row>
    <row r="29" customFormat="false" ht="15" hidden="false" customHeight="false" outlineLevel="0" collapsed="false">
      <c r="B29" s="11" t="s">
        <v>57</v>
      </c>
      <c r="C29" s="16" t="n">
        <v>8</v>
      </c>
      <c r="D29" s="16" t="n">
        <v>1.5</v>
      </c>
      <c r="E29" s="16" t="n">
        <v>2</v>
      </c>
    </row>
    <row r="30" customFormat="false" ht="15" hidden="false" customHeight="false" outlineLevel="0" collapsed="false">
      <c r="B30" s="11" t="s">
        <v>58</v>
      </c>
      <c r="C30" s="16" t="n">
        <v>3</v>
      </c>
      <c r="D30" s="16" t="n">
        <v>2</v>
      </c>
      <c r="E30" s="16" t="n">
        <v>2</v>
      </c>
    </row>
    <row r="31" customFormat="false" ht="15" hidden="false" customHeight="false" outlineLevel="0" collapsed="false">
      <c r="B31" s="11" t="s">
        <v>59</v>
      </c>
      <c r="C31" s="16" t="n">
        <v>12</v>
      </c>
      <c r="D31" s="16" t="n">
        <v>1.5</v>
      </c>
      <c r="E31" s="16" t="n">
        <v>2</v>
      </c>
    </row>
    <row r="32" customFormat="false" ht="15" hidden="false" customHeight="false" outlineLevel="0" collapsed="false">
      <c r="B32" s="11" t="s">
        <v>60</v>
      </c>
      <c r="C32" s="16" t="n">
        <v>2</v>
      </c>
      <c r="D32" s="16" t="n">
        <v>3</v>
      </c>
      <c r="E32" s="16" t="n">
        <v>3</v>
      </c>
    </row>
    <row r="35" customFormat="false" ht="16.15" hidden="false" customHeight="false" outlineLevel="0" collapsed="false">
      <c r="B35" s="14" t="s">
        <v>61</v>
      </c>
    </row>
    <row r="37" customFormat="false" ht="15" hidden="false" customHeight="false" outlineLevel="0" collapsed="false">
      <c r="B37" s="11" t="s">
        <v>62</v>
      </c>
      <c r="C37" s="23" t="n">
        <v>2.8</v>
      </c>
      <c r="E37" s="24" t="s">
        <v>63</v>
      </c>
      <c r="F37" s="24"/>
      <c r="G37" s="24"/>
      <c r="H37" s="24"/>
      <c r="I37" s="24"/>
      <c r="J37" s="24"/>
    </row>
    <row r="38" customFormat="false" ht="15" hidden="false" customHeight="false" outlineLevel="0" collapsed="false">
      <c r="B38" s="11" t="s">
        <v>64</v>
      </c>
      <c r="C38" s="23" t="n">
        <v>2.5</v>
      </c>
      <c r="E38" s="24" t="s">
        <v>65</v>
      </c>
      <c r="F38" s="24"/>
      <c r="G38" s="24"/>
      <c r="H38" s="24"/>
      <c r="I38" s="24"/>
      <c r="J38" s="24"/>
    </row>
    <row r="39" customFormat="false" ht="15" hidden="false" customHeight="false" outlineLevel="0" collapsed="false">
      <c r="B39" s="11" t="s">
        <v>66</v>
      </c>
      <c r="C39" s="23" t="n">
        <v>1.4</v>
      </c>
      <c r="E39" s="24" t="s">
        <v>67</v>
      </c>
      <c r="F39" s="24"/>
      <c r="G39" s="24"/>
      <c r="H39" s="24"/>
      <c r="I39" s="24"/>
      <c r="J39" s="24"/>
    </row>
    <row r="40" customFormat="false" ht="15" hidden="false" customHeight="false" outlineLevel="0" collapsed="false">
      <c r="B40" s="11" t="s">
        <v>68</v>
      </c>
      <c r="C40" s="23" t="n">
        <v>1.3</v>
      </c>
      <c r="E40" s="24"/>
      <c r="F40" s="24"/>
      <c r="G40" s="24"/>
      <c r="H40" s="24"/>
      <c r="I40" s="24"/>
      <c r="J40" s="24"/>
    </row>
    <row r="41" customFormat="false" ht="15" hidden="false" customHeight="false" outlineLevel="0" collapsed="false">
      <c r="B41" s="11" t="s">
        <v>69</v>
      </c>
      <c r="C41" s="23" t="n">
        <v>0.75</v>
      </c>
      <c r="E41" s="24" t="s">
        <v>70</v>
      </c>
      <c r="F41" s="24"/>
      <c r="G41" s="24"/>
      <c r="H41" s="24"/>
      <c r="I41" s="24"/>
      <c r="J41" s="24"/>
    </row>
    <row r="42" customFormat="false" ht="15" hidden="false" customHeight="false" outlineLevel="0" collapsed="false">
      <c r="B42" s="11" t="s">
        <v>71</v>
      </c>
      <c r="C42" s="23" t="n">
        <v>0.65</v>
      </c>
      <c r="E42" s="24" t="s">
        <v>72</v>
      </c>
      <c r="F42" s="24"/>
      <c r="G42" s="24"/>
      <c r="H42" s="24"/>
      <c r="I42" s="24"/>
      <c r="J42" s="24"/>
    </row>
  </sheetData>
  <mergeCells count="12">
    <mergeCell ref="E7:J7"/>
    <mergeCell ref="E8:J8"/>
    <mergeCell ref="E9:J9"/>
    <mergeCell ref="E10:J10"/>
    <mergeCell ref="E11:J11"/>
    <mergeCell ref="E12:J12"/>
    <mergeCell ref="E37:J37"/>
    <mergeCell ref="E38:J38"/>
    <mergeCell ref="E39:J39"/>
    <mergeCell ref="E40:J40"/>
    <mergeCell ref="E41:J41"/>
    <mergeCell ref="E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2" customFormat="false" ht="22.05" hidden="false" customHeight="false" outlineLevel="0" collapsed="false">
      <c r="B2" s="13" t="s">
        <v>73</v>
      </c>
    </row>
    <row r="3" customFormat="false" ht="15" hidden="false" customHeight="false" outlineLevel="0" collapsed="false">
      <c r="B3" s="3" t="s">
        <v>74</v>
      </c>
    </row>
    <row r="7" customFormat="false" ht="15" hidden="false" customHeight="false" outlineLevel="0" collapsed="false">
      <c r="A7" s="19" t="s">
        <v>39</v>
      </c>
      <c r="B7" s="19" t="s">
        <v>42</v>
      </c>
      <c r="C7" s="19" t="s">
        <v>75</v>
      </c>
      <c r="D7" s="19" t="s">
        <v>76</v>
      </c>
      <c r="E7" s="19" t="s">
        <v>77</v>
      </c>
    </row>
    <row r="11" customFormat="false" ht="15" hidden="false" customHeight="false" outlineLevel="0" collapsed="false">
      <c r="A11" s="5" t="s">
        <v>43</v>
      </c>
      <c r="B11" s="25" t="n">
        <f aca="false">Inputs!E18</f>
        <v>150</v>
      </c>
      <c r="C11" s="26" t="n">
        <f aca="false">(Inputs!D18/1000000)*((1-Inputs!C11)*Inputs!C7 + Inputs!C11*Inputs!C9)+(Inputs!D18*Inputs!C12/1000000)*((1-Inputs!C11)*Inputs!C8 + Inputs!C11*Inputs!C10)</f>
        <v>5</v>
      </c>
      <c r="D11" s="27" t="n">
        <f aca="false">B11-C11</f>
        <v>145</v>
      </c>
      <c r="E11" s="28" t="n">
        <f aca="false">IFERROR(D11/B11, 0)</f>
        <v>0.966666666666667</v>
      </c>
    </row>
    <row r="12" customFormat="false" ht="15" hidden="false" customHeight="false" outlineLevel="0" collapsed="false">
      <c r="A12" s="5" t="s">
        <v>45</v>
      </c>
      <c r="B12" s="25" t="n">
        <f aca="false">Inputs!E19</f>
        <v>400</v>
      </c>
      <c r="C12" s="26" t="n">
        <f aca="false">(Inputs!D19/1000000)*((1-Inputs!C11)*Inputs!C7 + Inputs!C11*Inputs!C9)+(Inputs!D19*Inputs!C12/1000000)*((1-Inputs!C11)*Inputs!C8 + Inputs!C11*Inputs!C10)</f>
        <v>19</v>
      </c>
      <c r="D12" s="27" t="n">
        <f aca="false">B12-C12</f>
        <v>381</v>
      </c>
      <c r="E12" s="28" t="n">
        <f aca="false">IFERROR(D12/B12, 0)</f>
        <v>0.9525</v>
      </c>
    </row>
    <row r="13" customFormat="false" ht="15" hidden="false" customHeight="false" outlineLevel="0" collapsed="false">
      <c r="A13" s="5" t="s">
        <v>47</v>
      </c>
      <c r="B13" s="25" t="n">
        <f aca="false">Inputs!E20</f>
        <v>800</v>
      </c>
      <c r="C13" s="26" t="n">
        <f aca="false">(Inputs!D20/1000000)*((1-Inputs!C11)*Inputs!C7 + Inputs!C11*Inputs!C9)+(Inputs!D20*Inputs!C12/1000000)*((1-Inputs!C11)*Inputs!C8 + Inputs!C11*Inputs!C10)</f>
        <v>55</v>
      </c>
      <c r="D13" s="27" t="n">
        <f aca="false">B13-C13</f>
        <v>745</v>
      </c>
      <c r="E13" s="28" t="n">
        <f aca="false">IFERROR(D13/B13, 0)</f>
        <v>0.93125</v>
      </c>
    </row>
    <row r="14" customFormat="false" ht="15" hidden="false" customHeight="false" outlineLevel="0" collapsed="false">
      <c r="A14" s="5" t="s">
        <v>49</v>
      </c>
      <c r="B14" s="25" t="n">
        <f aca="false">Inputs!E21</f>
        <v>1500</v>
      </c>
      <c r="C14" s="26" t="n">
        <f aca="false">(Inputs!D21/1000000)*((1-Inputs!C11)*Inputs!C7 + Inputs!C11*Inputs!C9)+(Inputs!D21*Inputs!C12/1000000)*((1-Inputs!C11)*Inputs!C8 + Inputs!C11*Inputs!C10)</f>
        <v>110</v>
      </c>
      <c r="D14" s="27" t="n">
        <f aca="false">B14-C14</f>
        <v>1390</v>
      </c>
      <c r="E14" s="28" t="n">
        <f aca="false">IFERROR(D14/B14, 0)</f>
        <v>0.926666666666667</v>
      </c>
    </row>
    <row r="16" customFormat="false" ht="15" hidden="false" customHeight="false" outlineLevel="0" collapsed="false">
      <c r="A16" s="29" t="s">
        <v>78</v>
      </c>
      <c r="B16" s="30" t="n">
        <f aca="false">AVERAGE(B11:B14)</f>
        <v>712.5</v>
      </c>
      <c r="C16" s="31" t="n">
        <f aca="false">AVERAGE(C11:C14)</f>
        <v>47.25</v>
      </c>
      <c r="D16" s="30" t="n">
        <f aca="false">AVERAGE(D11:D14)</f>
        <v>665.25</v>
      </c>
      <c r="E16" s="28" t="n">
        <f aca="false">AVERAGE(E11:E14)</f>
        <v>0.944270833333333</v>
      </c>
    </row>
    <row r="19" customFormat="false" ht="15" hidden="false" customHeight="false" outlineLevel="0" collapsed="false">
      <c r="B19" s="9" t="s">
        <v>79</v>
      </c>
    </row>
    <row r="20" customFormat="false" ht="15" hidden="false" customHeight="false" outlineLevel="0" collapsed="false">
      <c r="B20" s="0" t="s">
        <v>80</v>
      </c>
      <c r="C20" s="18" t="n">
        <v>0.75</v>
      </c>
    </row>
    <row r="21" customFormat="false" ht="15" hidden="false" customHeight="false" outlineLevel="0" collapsed="false">
      <c r="B21" s="0" t="s">
        <v>81</v>
      </c>
      <c r="C21" s="32" t="str">
        <f aca="false">IF(MIN(E11:E14)&gt;=C20, "YES", "NO")</f>
        <v>YES</v>
      </c>
    </row>
  </sheetData>
  <conditionalFormatting sqref="E11:E14">
    <cfRule type="cellIs" priority="2" operator="greaterThanOrEqual" aboveAverage="0" equalAverage="0" bottom="0" percent="0" rank="0" text="" dxfId="0">
      <formula>0.75</formula>
    </cfRule>
    <cfRule type="cellIs" priority="3" operator="lessThan" aboveAverage="0" equalAverage="0" bottom="0" percent="0" rank="0" text="" dxfId="1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13" t="s">
        <v>82</v>
      </c>
    </row>
    <row r="3" customFormat="false" ht="15" hidden="false" customHeight="false" outlineLevel="0" collapsed="false">
      <c r="B3" s="3" t="s">
        <v>83</v>
      </c>
    </row>
    <row r="6" customFormat="false" ht="15" hidden="false" customHeight="false" outlineLevel="0" collapsed="false">
      <c r="A6" s="19" t="s">
        <v>84</v>
      </c>
      <c r="B6" s="19" t="s">
        <v>85</v>
      </c>
      <c r="C6" s="19" t="s">
        <v>86</v>
      </c>
      <c r="D6" s="19" t="s">
        <v>87</v>
      </c>
      <c r="E6" s="19" t="s">
        <v>88</v>
      </c>
    </row>
    <row r="7" customFormat="false" ht="15" hidden="false" customHeight="false" outlineLevel="0" collapsed="false">
      <c r="A7" s="5" t="s">
        <v>89</v>
      </c>
      <c r="B7" s="33" t="s">
        <v>90</v>
      </c>
      <c r="C7" s="34" t="n">
        <f aca="false">SUM(Inputs!C28:C32)</f>
        <v>45</v>
      </c>
      <c r="D7" s="34" t="n">
        <f aca="false">C7*Inputs!C37</f>
        <v>126</v>
      </c>
      <c r="E7" s="34" t="n">
        <f aca="false">D7*Inputs!C38</f>
        <v>315</v>
      </c>
    </row>
    <row r="8" customFormat="false" ht="15" hidden="false" customHeight="false" outlineLevel="0" collapsed="false">
      <c r="A8" s="5" t="s">
        <v>91</v>
      </c>
      <c r="B8" s="33" t="s">
        <v>92</v>
      </c>
      <c r="C8" s="35" t="n">
        <f aca="false">SUMPRODUCT(Inputs!C28:C32, Inputs!D28:D32)*12/C7</f>
        <v>16.5333333333333</v>
      </c>
      <c r="D8" s="35" t="n">
        <f aca="false">C8*Inputs!C39</f>
        <v>23.1466666666667</v>
      </c>
      <c r="E8" s="35" t="n">
        <f aca="false">D8*Inputs!C40</f>
        <v>30.0906666666667</v>
      </c>
    </row>
    <row r="9" customFormat="false" ht="15" hidden="false" customHeight="false" outlineLevel="0" collapsed="false">
      <c r="A9" s="5" t="s">
        <v>93</v>
      </c>
      <c r="B9" s="33" t="s">
        <v>94</v>
      </c>
      <c r="C9" s="34" t="n">
        <f aca="false">C7*C8</f>
        <v>744</v>
      </c>
      <c r="D9" s="34" t="n">
        <f aca="false">D7*D8</f>
        <v>2916.48</v>
      </c>
      <c r="E9" s="34" t="n">
        <f aca="false">E7*E8</f>
        <v>9478.56</v>
      </c>
    </row>
    <row r="10" customFormat="false" ht="15" hidden="false" customHeight="false" outlineLevel="0" collapsed="false">
      <c r="A10" s="5" t="s">
        <v>95</v>
      </c>
      <c r="B10" s="33" t="s">
        <v>96</v>
      </c>
      <c r="C10" s="36" t="n">
        <f aca="false">SUMPRODUCT(Inputs!C28:C32, Inputs!D28:D32, CHOOSE(Inputs!E28:E32, Inputs!E18, Inputs!E19, Inputs!E20, Inputs!E21))/SUMPRODUCT(Inputs!C28:C32, Inputs!D28:D32)</f>
        <v>358.064516129032</v>
      </c>
      <c r="D10" s="36" t="n">
        <f aca="false">C10</f>
        <v>358.064516129032</v>
      </c>
      <c r="E10" s="36" t="n">
        <f aca="false">D10*1.05</f>
        <v>375.967741935484</v>
      </c>
    </row>
    <row r="11" customFormat="false" ht="15" hidden="false" customHeight="false" outlineLevel="0" collapsed="false">
      <c r="A11" s="5"/>
      <c r="B11" s="33"/>
      <c r="C11" s="37"/>
      <c r="D11" s="37"/>
      <c r="E11" s="37"/>
    </row>
    <row r="12" customFormat="false" ht="15" hidden="false" customHeight="false" outlineLevel="0" collapsed="false">
      <c r="A12" s="37" t="s">
        <v>97</v>
      </c>
      <c r="B12" s="37" t="s">
        <v>98</v>
      </c>
      <c r="C12" s="38" t="n">
        <f aca="false">C9*C10</f>
        <v>266400</v>
      </c>
      <c r="D12" s="38" t="n">
        <f aca="false">D9*D10</f>
        <v>1044288</v>
      </c>
      <c r="E12" s="38" t="n">
        <f aca="false">E9*E10</f>
        <v>3563632.8</v>
      </c>
    </row>
    <row r="13" customFormat="false" ht="15" hidden="false" customHeight="false" outlineLevel="0" collapsed="false">
      <c r="A13" s="5"/>
      <c r="B13" s="33"/>
      <c r="C13" s="37"/>
      <c r="D13" s="37"/>
      <c r="E13" s="37"/>
    </row>
    <row r="14" customFormat="false" ht="15" hidden="false" customHeight="false" outlineLevel="0" collapsed="false">
      <c r="A14" s="5" t="s">
        <v>99</v>
      </c>
      <c r="B14" s="33" t="s">
        <v>100</v>
      </c>
      <c r="C14" s="39" t="n">
        <f aca="false">Pricing!C16</f>
        <v>47.25</v>
      </c>
      <c r="D14" s="39" t="n">
        <f aca="false">C14*Inputs!C41</f>
        <v>35.4375</v>
      </c>
      <c r="E14" s="39" t="n">
        <f aca="false">C14*Inputs!C42</f>
        <v>30.7125</v>
      </c>
    </row>
    <row r="15" customFormat="false" ht="15" hidden="false" customHeight="false" outlineLevel="0" collapsed="false">
      <c r="A15" s="5" t="s">
        <v>101</v>
      </c>
      <c r="B15" s="33" t="s">
        <v>102</v>
      </c>
      <c r="C15" s="36" t="n">
        <f aca="false">C9*C14</f>
        <v>35154</v>
      </c>
      <c r="D15" s="36" t="n">
        <f aca="false">D9*D14</f>
        <v>103352.76</v>
      </c>
      <c r="E15" s="36" t="n">
        <f aca="false">E9*E14</f>
        <v>291110.274</v>
      </c>
    </row>
    <row r="16" customFormat="false" ht="15" hidden="false" customHeight="false" outlineLevel="0" collapsed="false">
      <c r="A16" s="5" t="s">
        <v>103</v>
      </c>
      <c r="B16" s="33" t="s">
        <v>104</v>
      </c>
      <c r="C16" s="36" t="n">
        <f aca="false">8000+C9*1.5</f>
        <v>9116</v>
      </c>
      <c r="D16" s="36" t="n">
        <f aca="false">18000+D9*1.5</f>
        <v>22374.72</v>
      </c>
      <c r="E16" s="36" t="n">
        <f aca="false">35000+E9*1.5</f>
        <v>49217.84</v>
      </c>
    </row>
    <row r="17" customFormat="false" ht="15" hidden="false" customHeight="false" outlineLevel="0" collapsed="false">
      <c r="A17" s="5" t="s">
        <v>105</v>
      </c>
      <c r="B17" s="33" t="s">
        <v>106</v>
      </c>
      <c r="C17" s="36" t="n">
        <f aca="false">C12*0.025</f>
        <v>6660</v>
      </c>
      <c r="D17" s="36" t="n">
        <f aca="false">D12*0.025</f>
        <v>26107.2</v>
      </c>
      <c r="E17" s="36" t="n">
        <f aca="false">E12*0.025</f>
        <v>89090.82</v>
      </c>
    </row>
    <row r="18" customFormat="false" ht="15" hidden="false" customHeight="false" outlineLevel="0" collapsed="false">
      <c r="A18" s="37" t="s">
        <v>107</v>
      </c>
      <c r="B18" s="37" t="s">
        <v>108</v>
      </c>
      <c r="C18" s="36" t="n">
        <f aca="false">SUM(C15:C17)</f>
        <v>50930</v>
      </c>
      <c r="D18" s="36" t="n">
        <f aca="false">SUM(D15:D17)</f>
        <v>151834.68</v>
      </c>
      <c r="E18" s="36" t="n">
        <f aca="false">SUM(E15:E17)</f>
        <v>429418.934</v>
      </c>
    </row>
    <row r="19" customFormat="false" ht="15" hidden="false" customHeight="false" outlineLevel="0" collapsed="false">
      <c r="A19" s="5"/>
      <c r="B19" s="33"/>
      <c r="C19" s="37"/>
      <c r="D19" s="37"/>
      <c r="E19" s="37"/>
    </row>
    <row r="20" customFormat="false" ht="15" hidden="false" customHeight="false" outlineLevel="0" collapsed="false">
      <c r="A20" s="37" t="s">
        <v>109</v>
      </c>
      <c r="B20" s="37" t="s">
        <v>110</v>
      </c>
      <c r="C20" s="38" t="n">
        <f aca="false">C12-C18</f>
        <v>215470</v>
      </c>
      <c r="D20" s="38" t="n">
        <f aca="false">D12-D18</f>
        <v>892453.32</v>
      </c>
      <c r="E20" s="38" t="n">
        <f aca="false">E12-E18</f>
        <v>3134213.866</v>
      </c>
    </row>
    <row r="21" customFormat="false" ht="15" hidden="false" customHeight="false" outlineLevel="0" collapsed="false">
      <c r="A21" s="5" t="s">
        <v>77</v>
      </c>
      <c r="B21" s="33" t="s">
        <v>111</v>
      </c>
      <c r="C21" s="40" t="n">
        <f aca="false">C20/C12</f>
        <v>0.808821321321321</v>
      </c>
      <c r="D21" s="40" t="n">
        <f aca="false">D20/D12</f>
        <v>0.854604591836735</v>
      </c>
      <c r="E21" s="40" t="n">
        <f aca="false">E20/E12</f>
        <v>0.87949966842824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2"/>
    <col collapsed="false" customWidth="true" hidden="false" outlineLevel="0" max="5" min="3" style="0" width="18"/>
  </cols>
  <sheetData>
    <row r="2" customFormat="false" ht="22.05" hidden="false" customHeight="false" outlineLevel="0" collapsed="false">
      <c r="B2" s="13" t="s">
        <v>112</v>
      </c>
    </row>
    <row r="3" customFormat="false" ht="15" hidden="false" customHeight="false" outlineLevel="0" collapsed="false">
      <c r="B3" s="3" t="s">
        <v>113</v>
      </c>
    </row>
    <row r="5" customFormat="false" ht="16.15" hidden="false" customHeight="false" outlineLevel="0" collapsed="false">
      <c r="B5" s="14" t="s">
        <v>114</v>
      </c>
    </row>
    <row r="7" customFormat="false" ht="15" hidden="false" customHeight="false" outlineLevel="0" collapsed="false">
      <c r="B7" s="29" t="s">
        <v>115</v>
      </c>
      <c r="C7" s="29" t="s">
        <v>116</v>
      </c>
      <c r="D7" s="29" t="s">
        <v>117</v>
      </c>
    </row>
    <row r="8" customFormat="false" ht="15" hidden="false" customHeight="false" outlineLevel="0" collapsed="false">
      <c r="B8" s="41" t="n">
        <v>4</v>
      </c>
      <c r="C8" s="42" t="n">
        <f aca="false">(950000/1000000)*((1-Inputs!C11)*B8+Inputs!C11*Inputs!C9)+(950000*Inputs!C12/1000000)*((1-Inputs!C11)*B8*4.17+Inputs!C11*Inputs!C10)</f>
        <v>6.84304</v>
      </c>
      <c r="D8" s="28" t="n">
        <f aca="false">(Inputs!E19-C8)/Inputs!E19</f>
        <v>0.9828924</v>
      </c>
    </row>
    <row r="9" customFormat="false" ht="15" hidden="false" customHeight="false" outlineLevel="0" collapsed="false">
      <c r="B9" s="41" t="n">
        <v>8</v>
      </c>
      <c r="C9" s="42" t="n">
        <f aca="false">(950000/1000000)*((1-Inputs!C11)*B9+Inputs!C11*Inputs!C9)+(950000*Inputs!C12/1000000)*((1-Inputs!C11)*B9*4.17+Inputs!C11*Inputs!C10)</f>
        <v>12.92608</v>
      </c>
      <c r="D9" s="28" t="n">
        <f aca="false">(Inputs!E19-C9)/Inputs!E19</f>
        <v>0.9676848</v>
      </c>
    </row>
    <row r="10" customFormat="false" ht="15" hidden="false" customHeight="false" outlineLevel="0" collapsed="false">
      <c r="B10" s="41" t="n">
        <v>12</v>
      </c>
      <c r="C10" s="42" t="n">
        <f aca="false">(950000/1000000)*((1-Inputs!C11)*B10+Inputs!C11*Inputs!C9)+(950000*Inputs!C12/1000000)*((1-Inputs!C11)*B10*4.17+Inputs!C11*Inputs!C10)</f>
        <v>19.00912</v>
      </c>
      <c r="D10" s="28" t="n">
        <f aca="false">(Inputs!E19-C10)/Inputs!E19</f>
        <v>0.9524772</v>
      </c>
    </row>
    <row r="11" customFormat="false" ht="15" hidden="false" customHeight="false" outlineLevel="0" collapsed="false">
      <c r="B11" s="41" t="n">
        <v>18</v>
      </c>
      <c r="C11" s="42" t="n">
        <f aca="false">(950000/1000000)*((1-Inputs!C11)*B11+Inputs!C11*Inputs!C9)+(950000*Inputs!C12/1000000)*((1-Inputs!C11)*B11*4.17+Inputs!C11*Inputs!C10)</f>
        <v>28.13368</v>
      </c>
      <c r="D11" s="28" t="n">
        <f aca="false">(Inputs!E19-C11)/Inputs!E19</f>
        <v>0.9296658</v>
      </c>
    </row>
    <row r="12" customFormat="false" ht="15" hidden="false" customHeight="false" outlineLevel="0" collapsed="false">
      <c r="B12" s="41" t="n">
        <v>24</v>
      </c>
      <c r="C12" s="42" t="n">
        <f aca="false">(950000/1000000)*((1-Inputs!C11)*B12+Inputs!C11*Inputs!C9)+(950000*Inputs!C12/1000000)*((1-Inputs!C11)*B12*4.17+Inputs!C11*Inputs!C10)</f>
        <v>37.25824</v>
      </c>
      <c r="D12" s="28" t="n">
        <f aca="false">(Inputs!E19-C12)/Inputs!E19</f>
        <v>0.9068544</v>
      </c>
    </row>
    <row r="13" customFormat="false" ht="15" hidden="false" customHeight="false" outlineLevel="0" collapsed="false">
      <c r="B13" s="41" t="n">
        <v>36</v>
      </c>
      <c r="C13" s="42" t="n">
        <f aca="false">(950000/1000000)*((1-Inputs!C11)*B13+Inputs!C11*Inputs!C9)+(950000*Inputs!C12/1000000)*((1-Inputs!C11)*B13*4.17+Inputs!C11*Inputs!C10)</f>
        <v>55.50736</v>
      </c>
      <c r="D13" s="28" t="n">
        <f aca="false">(Inputs!E19-C13)/Inputs!E19</f>
        <v>0.8612316</v>
      </c>
    </row>
    <row r="16" customFormat="false" ht="16.15" hidden="false" customHeight="false" outlineLevel="0" collapsed="false">
      <c r="B16" s="14" t="s">
        <v>118</v>
      </c>
    </row>
    <row r="18" customFormat="false" ht="15" hidden="false" customHeight="false" outlineLevel="0" collapsed="false">
      <c r="B18" s="29" t="s">
        <v>119</v>
      </c>
      <c r="C18" s="29" t="s">
        <v>120</v>
      </c>
      <c r="D18" s="29" t="s">
        <v>121</v>
      </c>
    </row>
    <row r="19" customFormat="false" ht="15" hidden="false" customHeight="false" outlineLevel="0" collapsed="false">
      <c r="B19" s="5" t="s">
        <v>122</v>
      </c>
      <c r="C19" s="43" t="n">
        <f aca="false">Revenue!C12*25/Revenue!C7</f>
        <v>148000</v>
      </c>
      <c r="D19" s="44" t="n">
        <f aca="false">C19*Revenue!C21</f>
        <v>119705.555555556</v>
      </c>
    </row>
    <row r="20" customFormat="false" ht="15" hidden="false" customHeight="false" outlineLevel="0" collapsed="false">
      <c r="B20" s="5" t="s">
        <v>123</v>
      </c>
      <c r="C20" s="43" t="n">
        <f aca="false">Revenue!C12*35/Revenue!C7</f>
        <v>207200</v>
      </c>
      <c r="D20" s="44" t="n">
        <f aca="false">C20*Revenue!C21</f>
        <v>167587.777777778</v>
      </c>
    </row>
    <row r="21" customFormat="false" ht="15" hidden="false" customHeight="false" outlineLevel="0" collapsed="false">
      <c r="B21" s="5" t="s">
        <v>124</v>
      </c>
      <c r="C21" s="43" t="n">
        <f aca="false">Revenue!C12*45/Revenue!C7</f>
        <v>266400</v>
      </c>
      <c r="D21" s="44" t="n">
        <f aca="false">C21*Revenue!C21</f>
        <v>215470</v>
      </c>
    </row>
    <row r="22" customFormat="false" ht="15" hidden="false" customHeight="false" outlineLevel="0" collapsed="false">
      <c r="B22" s="5" t="s">
        <v>125</v>
      </c>
      <c r="C22" s="43" t="n">
        <f aca="false">Revenue!C12*60/Revenue!C7</f>
        <v>355200</v>
      </c>
      <c r="D22" s="44" t="n">
        <f aca="false">C22*Revenue!C21</f>
        <v>287293.333333333</v>
      </c>
    </row>
    <row r="23" customFormat="false" ht="15" hidden="false" customHeight="false" outlineLevel="0" collapsed="false">
      <c r="B23" s="5" t="s">
        <v>126</v>
      </c>
      <c r="C23" s="43" t="n">
        <f aca="false">Revenue!C12*85/Revenue!C7</f>
        <v>503200</v>
      </c>
      <c r="D23" s="44" t="n">
        <f aca="false">C23*Revenue!C21</f>
        <v>406998.888888889</v>
      </c>
    </row>
  </sheetData>
  <conditionalFormatting sqref="D8:D13">
    <cfRule type="cellIs" priority="2" operator="greaterThanOrEqual" aboveAverage="0" equalAverage="0" bottom="0" percent="0" rank="0" text="" dxfId="2">
      <formula>0.85</formula>
    </cfRule>
    <cfRule type="cellIs" priority="3" operator="between" aboveAverage="0" equalAverage="0" bottom="0" percent="0" rank="0" text="" dxfId="3">
      <formula>0.5</formula>
      <formula>0.85</formula>
    </cfRule>
    <cfRule type="cellIs" priority="4" operator="lessThan" aboveAverage="0" equalAverage="0" bottom="0" percent="0" rank="0" text="" dxfId="4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9" min="3" style="0" width="12"/>
  </cols>
  <sheetData>
    <row r="2" customFormat="false" ht="22.05" hidden="false" customHeight="false" outlineLevel="0" collapsed="false">
      <c r="B2" s="13" t="s">
        <v>127</v>
      </c>
    </row>
    <row r="3" customFormat="false" ht="15" hidden="false" customHeight="false" outlineLevel="0" collapsed="false">
      <c r="B3" s="3" t="s">
        <v>128</v>
      </c>
    </row>
    <row r="5" customFormat="false" ht="15" hidden="false" customHeight="false" outlineLevel="0" collapsed="false">
      <c r="B5" s="45" t="s">
        <v>129</v>
      </c>
      <c r="C5" s="45" t="s">
        <v>130</v>
      </c>
      <c r="D5" s="45" t="s">
        <v>131</v>
      </c>
      <c r="E5" s="45" t="s">
        <v>132</v>
      </c>
      <c r="F5" s="45" t="s">
        <v>133</v>
      </c>
      <c r="G5" s="45" t="s">
        <v>134</v>
      </c>
      <c r="H5" s="45" t="s">
        <v>135</v>
      </c>
      <c r="I5" s="45" t="s">
        <v>136</v>
      </c>
    </row>
    <row r="6" customFormat="false" ht="15" hidden="false" customHeight="false" outlineLevel="0" collapsed="false">
      <c r="B6" s="11" t="s">
        <v>137</v>
      </c>
      <c r="C6" s="21" t="n">
        <v>4000</v>
      </c>
      <c r="D6" s="21" t="n">
        <v>2</v>
      </c>
      <c r="E6" s="46" t="n">
        <f aca="false">C6*D6</f>
        <v>8000</v>
      </c>
      <c r="F6" s="21" t="n">
        <v>4</v>
      </c>
      <c r="G6" s="46" t="n">
        <f aca="false">C6*F6</f>
        <v>16000</v>
      </c>
      <c r="H6" s="21" t="n">
        <v>6</v>
      </c>
      <c r="I6" s="46" t="n">
        <f aca="false">C6*H6</f>
        <v>24000</v>
      </c>
    </row>
    <row r="7" customFormat="false" ht="15" hidden="false" customHeight="false" outlineLevel="0" collapsed="false">
      <c r="B7" s="11" t="s">
        <v>138</v>
      </c>
      <c r="C7" s="21" t="n">
        <v>2750</v>
      </c>
      <c r="D7" s="21" t="n">
        <v>120</v>
      </c>
      <c r="E7" s="46" t="n">
        <f aca="false">C7*D7</f>
        <v>330000</v>
      </c>
      <c r="F7" s="21" t="n">
        <v>380</v>
      </c>
      <c r="G7" s="46" t="n">
        <f aca="false">C7*F7</f>
        <v>1045000</v>
      </c>
      <c r="H7" s="21" t="n">
        <v>950</v>
      </c>
      <c r="I7" s="46" t="n">
        <f aca="false">C7*H7</f>
        <v>2612500</v>
      </c>
    </row>
    <row r="8" customFormat="false" ht="15" hidden="false" customHeight="false" outlineLevel="0" collapsed="false">
      <c r="B8" s="11" t="s">
        <v>139</v>
      </c>
      <c r="C8" s="21" t="n">
        <v>2250</v>
      </c>
      <c r="D8" s="21" t="n">
        <v>4</v>
      </c>
      <c r="E8" s="46" t="n">
        <f aca="false">C8*D8</f>
        <v>9000</v>
      </c>
      <c r="F8" s="21" t="n">
        <v>12</v>
      </c>
      <c r="G8" s="46" t="n">
        <f aca="false">C8*F8</f>
        <v>27000</v>
      </c>
      <c r="H8" s="21" t="n">
        <v>35</v>
      </c>
      <c r="I8" s="46" t="n">
        <f aca="false">C8*H8</f>
        <v>78750</v>
      </c>
    </row>
    <row r="9" customFormat="false" ht="15" hidden="false" customHeight="false" outlineLevel="0" collapsed="false">
      <c r="B9" s="11" t="s">
        <v>140</v>
      </c>
      <c r="C9" s="21" t="n">
        <v>3500</v>
      </c>
      <c r="D9" s="21" t="n">
        <v>6</v>
      </c>
      <c r="E9" s="46" t="n">
        <f aca="false">C9*D9</f>
        <v>21000</v>
      </c>
      <c r="F9" s="21" t="n">
        <v>25</v>
      </c>
      <c r="G9" s="46" t="n">
        <f aca="false">C9*F9</f>
        <v>87500</v>
      </c>
      <c r="H9" s="21" t="n">
        <v>80</v>
      </c>
      <c r="I9" s="46" t="n">
        <f aca="false">C9*H9</f>
        <v>280000</v>
      </c>
    </row>
    <row r="10" customFormat="false" ht="15" hidden="false" customHeight="false" outlineLevel="0" collapsed="false">
      <c r="B10" s="11" t="s">
        <v>141</v>
      </c>
      <c r="C10" s="21" t="n">
        <v>5500</v>
      </c>
      <c r="D10" s="21" t="n">
        <v>4</v>
      </c>
      <c r="E10" s="46" t="n">
        <f aca="false">C10*D10</f>
        <v>22000</v>
      </c>
      <c r="F10" s="21" t="n">
        <v>12</v>
      </c>
      <c r="G10" s="46" t="n">
        <f aca="false">C10*F10</f>
        <v>66000</v>
      </c>
      <c r="H10" s="21" t="n">
        <v>25</v>
      </c>
      <c r="I10" s="46" t="n">
        <f aca="false">C10*H10</f>
        <v>137500</v>
      </c>
    </row>
    <row r="11" customFormat="false" ht="15" hidden="false" customHeight="false" outlineLevel="0" collapsed="false">
      <c r="B11" s="11" t="s">
        <v>142</v>
      </c>
      <c r="C11" s="21" t="n">
        <v>3250</v>
      </c>
      <c r="D11" s="21" t="n">
        <v>4</v>
      </c>
      <c r="E11" s="46" t="n">
        <f aca="false">C11*D11</f>
        <v>13000</v>
      </c>
      <c r="F11" s="21" t="n">
        <v>18</v>
      </c>
      <c r="G11" s="46" t="n">
        <f aca="false">C11*F11</f>
        <v>58500</v>
      </c>
      <c r="H11" s="21" t="n">
        <v>40</v>
      </c>
      <c r="I11" s="46" t="n">
        <f aca="false">C11*H11</f>
        <v>130000</v>
      </c>
    </row>
    <row r="13" customFormat="false" ht="15" hidden="false" customHeight="false" outlineLevel="0" collapsed="false">
      <c r="B13" s="47" t="s">
        <v>143</v>
      </c>
      <c r="E13" s="48" t="n">
        <f aca="false">SUM(E6:E11)</f>
        <v>403000</v>
      </c>
      <c r="G13" s="48" t="n">
        <f aca="false">SUM(G6:G11)</f>
        <v>1300000</v>
      </c>
      <c r="I13" s="48" t="n">
        <f aca="false">SUM(I6:I11)</f>
        <v>3262750</v>
      </c>
    </row>
    <row r="15" customFormat="false" ht="15" hidden="false" customHeight="false" outlineLevel="0" collapsed="false">
      <c r="B15" s="9" t="s">
        <v>144</v>
      </c>
    </row>
    <row r="16" customFormat="false" ht="15" hidden="false" customHeight="false" outlineLevel="0" collapsed="false">
      <c r="B16" s="49" t="s">
        <v>145</v>
      </c>
      <c r="C16" s="49"/>
      <c r="D16" s="49"/>
      <c r="E16" s="49"/>
      <c r="F16" s="49"/>
      <c r="G16" s="49"/>
      <c r="H16" s="49"/>
      <c r="I16" s="49"/>
    </row>
    <row r="17" customFormat="false" ht="15" hidden="false" customHeight="false" outlineLevel="0" collapsed="false">
      <c r="B17" s="49" t="s">
        <v>146</v>
      </c>
      <c r="C17" s="49"/>
      <c r="D17" s="49"/>
      <c r="E17" s="49"/>
      <c r="F17" s="49"/>
      <c r="G17" s="49"/>
      <c r="H17" s="49"/>
      <c r="I17" s="49"/>
    </row>
  </sheetData>
  <mergeCells count="2"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2026-05-29T15:55:59Z</dcterms:created>
  <dc:creator>openpyxl</dc:creator>
  <dc:description/>
  <dc:language>en-US</dc:language>
  <cp:lastModifiedBy/>
  <dcterms:modified xsi:type="dcterms:W3CDTF">2026-05-29T15:55:59Z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